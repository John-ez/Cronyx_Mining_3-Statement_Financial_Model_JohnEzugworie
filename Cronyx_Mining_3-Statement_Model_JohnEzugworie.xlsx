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f58d147b079fe2b/Documents/Financial Models/"/>
    </mc:Choice>
  </mc:AlternateContent>
  <xr:revisionPtr revIDLastSave="429" documentId="11_A2984E4F323A32B1562CB87381AEA59C6A0A3F7D" xr6:coauthVersionLast="47" xr6:coauthVersionMax="47" xr10:uidLastSave="{FA48CC06-B166-41A8-B896-0F5B527A6A45}"/>
  <bookViews>
    <workbookView xWindow="-108" yWindow="-108" windowWidth="23256" windowHeight="12456" activeTab="4" xr2:uid="{00000000-000D-0000-FFFF-FFFF00000000}"/>
  </bookViews>
  <sheets>
    <sheet name="Cover Page" sheetId="8" r:id="rId1"/>
    <sheet name="Guide" sheetId="3" r:id="rId2"/>
    <sheet name="Input" sheetId="4" r:id="rId3"/>
    <sheet name="IS" sheetId="5" r:id="rId4"/>
    <sheet name="SOFP" sheetId="6" r:id="rId5"/>
    <sheet name="CFS" sheetId="7" r:id="rId6"/>
  </sheets>
  <definedNames>
    <definedName name="CompanyName">Guide!$E$10</definedName>
    <definedName name="Currency">Guide!$E$20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ScUQJXe6STVIOYFQ+YuhtBt3K4WKphdVnTpsLyw+/R4="/>
    </ext>
  </extLst>
</workbook>
</file>

<file path=xl/calcChain.xml><?xml version="1.0" encoding="utf-8"?>
<calcChain xmlns="http://schemas.openxmlformats.org/spreadsheetml/2006/main">
  <c r="J73" i="4" l="1"/>
  <c r="K73" i="4"/>
  <c r="L73" i="4"/>
  <c r="I73" i="4"/>
  <c r="F4" i="8"/>
  <c r="B2" i="7"/>
  <c r="B2" i="6"/>
  <c r="B2" i="5"/>
  <c r="B2" i="4"/>
  <c r="E17" i="3"/>
  <c r="B2" i="3"/>
  <c r="L150" i="4" l="1"/>
  <c r="L151" i="4"/>
  <c r="L152" i="4"/>
  <c r="L153" i="4"/>
  <c r="L154" i="4"/>
  <c r="H17" i="7"/>
  <c r="K10" i="5"/>
  <c r="L10" i="5"/>
  <c r="J10" i="5"/>
  <c r="I10" i="5"/>
  <c r="H24" i="5"/>
  <c r="E28" i="4" l="1"/>
  <c r="E20" i="3"/>
  <c r="E26" i="4"/>
  <c r="H39" i="7"/>
  <c r="H33" i="7"/>
  <c r="H35" i="7" s="1"/>
  <c r="L32" i="7"/>
  <c r="L31" i="7"/>
  <c r="L30" i="7"/>
  <c r="K30" i="7"/>
  <c r="J30" i="7"/>
  <c r="I30" i="7"/>
  <c r="L29" i="7"/>
  <c r="K29" i="7"/>
  <c r="J29" i="7"/>
  <c r="I29" i="7"/>
  <c r="H6" i="7"/>
  <c r="I6" i="7" s="1"/>
  <c r="L33" i="6"/>
  <c r="K33" i="6"/>
  <c r="J33" i="6"/>
  <c r="I33" i="6"/>
  <c r="L23" i="6"/>
  <c r="L24" i="6" s="1"/>
  <c r="H6" i="6"/>
  <c r="I6" i="6" s="1"/>
  <c r="I5" i="6"/>
  <c r="H29" i="5"/>
  <c r="L22" i="5"/>
  <c r="H14" i="5"/>
  <c r="H10" i="5"/>
  <c r="H9" i="5"/>
  <c r="H11" i="5" s="1"/>
  <c r="H6" i="5"/>
  <c r="I6" i="5" s="1"/>
  <c r="I5" i="5"/>
  <c r="K151" i="4"/>
  <c r="J151" i="4"/>
  <c r="I151" i="4"/>
  <c r="I150" i="4"/>
  <c r="E148" i="4"/>
  <c r="K153" i="4" s="1"/>
  <c r="E141" i="4"/>
  <c r="L127" i="4"/>
  <c r="K127" i="4"/>
  <c r="J127" i="4"/>
  <c r="I127" i="4"/>
  <c r="E124" i="4"/>
  <c r="I118" i="4"/>
  <c r="I117" i="4"/>
  <c r="I116" i="4"/>
  <c r="I119" i="4" s="1"/>
  <c r="I111" i="4"/>
  <c r="I23" i="7" s="1"/>
  <c r="I25" i="7" s="1"/>
  <c r="I110" i="4"/>
  <c r="L105" i="4"/>
  <c r="L111" i="4" s="1"/>
  <c r="L23" i="7" s="1"/>
  <c r="L25" i="7" s="1"/>
  <c r="K105" i="4"/>
  <c r="K111" i="4" s="1"/>
  <c r="K23" i="7" s="1"/>
  <c r="K25" i="7" s="1"/>
  <c r="J105" i="4"/>
  <c r="I105" i="4"/>
  <c r="I104" i="4"/>
  <c r="L99" i="4"/>
  <c r="K99" i="4"/>
  <c r="J99" i="4"/>
  <c r="I99" i="4"/>
  <c r="I98" i="4"/>
  <c r="L94" i="4"/>
  <c r="L93" i="4"/>
  <c r="K93" i="4"/>
  <c r="J93" i="4"/>
  <c r="I93" i="4"/>
  <c r="I92" i="4"/>
  <c r="I88" i="4"/>
  <c r="I81" i="4"/>
  <c r="I69" i="4"/>
  <c r="I60" i="4"/>
  <c r="I62" i="4" s="1"/>
  <c r="I55" i="4"/>
  <c r="I50" i="4"/>
  <c r="I43" i="4"/>
  <c r="I45" i="4" s="1"/>
  <c r="I64" i="4" s="1"/>
  <c r="I71" i="4" s="1"/>
  <c r="J32" i="4"/>
  <c r="K32" i="4" s="1"/>
  <c r="L32" i="4" s="1"/>
  <c r="L33" i="4" s="1"/>
  <c r="I31" i="4"/>
  <c r="K33" i="4" s="1"/>
  <c r="J28" i="4"/>
  <c r="I28" i="4"/>
  <c r="I27" i="4"/>
  <c r="L26" i="4"/>
  <c r="L28" i="4" s="1"/>
  <c r="K26" i="4"/>
  <c r="K28" i="4" s="1"/>
  <c r="J26" i="4"/>
  <c r="H6" i="4"/>
  <c r="I6" i="4" s="1"/>
  <c r="I7" i="4" s="1"/>
  <c r="I5" i="4"/>
  <c r="E38" i="3"/>
  <c r="E39" i="3" s="1"/>
  <c r="E37" i="3"/>
  <c r="E41" i="4"/>
  <c r="I5" i="7" l="1"/>
  <c r="I153" i="4"/>
  <c r="I32" i="7" s="1"/>
  <c r="I129" i="4"/>
  <c r="K35" i="4"/>
  <c r="I107" i="4"/>
  <c r="J104" i="4" s="1"/>
  <c r="J6" i="4"/>
  <c r="J7" i="4" s="1"/>
  <c r="J5" i="4"/>
  <c r="L35" i="4"/>
  <c r="E32" i="4"/>
  <c r="E33" i="4"/>
  <c r="E45" i="4"/>
  <c r="K15" i="5"/>
  <c r="J15" i="5"/>
  <c r="I15" i="5"/>
  <c r="L15" i="5"/>
  <c r="I7" i="6"/>
  <c r="J5" i="6"/>
  <c r="J6" i="6"/>
  <c r="I33" i="4"/>
  <c r="I35" i="4" s="1"/>
  <c r="E35" i="4"/>
  <c r="K106" i="4"/>
  <c r="J106" i="4"/>
  <c r="L106" i="4"/>
  <c r="I106" i="4"/>
  <c r="K22" i="5"/>
  <c r="K32" i="7"/>
  <c r="J6" i="5"/>
  <c r="I7" i="5"/>
  <c r="J5" i="5"/>
  <c r="J33" i="4"/>
  <c r="J35" i="4" s="1"/>
  <c r="K94" i="4"/>
  <c r="J94" i="4"/>
  <c r="I94" i="4"/>
  <c r="I95" i="4" s="1"/>
  <c r="J92" i="4" s="1"/>
  <c r="K100" i="4"/>
  <c r="J100" i="4"/>
  <c r="L100" i="4"/>
  <c r="I100" i="4"/>
  <c r="I101" i="4" s="1"/>
  <c r="J98" i="4" s="1"/>
  <c r="J111" i="4"/>
  <c r="J23" i="7" s="1"/>
  <c r="J25" i="7" s="1"/>
  <c r="H12" i="5"/>
  <c r="H17" i="5"/>
  <c r="K16" i="5"/>
  <c r="J16" i="5"/>
  <c r="I16" i="5"/>
  <c r="L16" i="5"/>
  <c r="I135" i="4"/>
  <c r="I27" i="6" s="1"/>
  <c r="J6" i="7"/>
  <c r="I7" i="7"/>
  <c r="J5" i="7"/>
  <c r="K152" i="4"/>
  <c r="K31" i="7" s="1"/>
  <c r="I132" i="4"/>
  <c r="I15" i="6" s="1"/>
  <c r="I152" i="4"/>
  <c r="I31" i="7" s="1"/>
  <c r="J153" i="4"/>
  <c r="J152" i="4"/>
  <c r="J31" i="7" s="1"/>
  <c r="I22" i="5" l="1"/>
  <c r="K6" i="7"/>
  <c r="J7" i="7"/>
  <c r="K5" i="7"/>
  <c r="J112" i="4"/>
  <c r="J18" i="5" s="1"/>
  <c r="I12" i="7"/>
  <c r="J22" i="5"/>
  <c r="J32" i="7"/>
  <c r="I154" i="4"/>
  <c r="K112" i="4"/>
  <c r="K18" i="5" s="1"/>
  <c r="K6" i="6"/>
  <c r="J7" i="6"/>
  <c r="K5" i="6"/>
  <c r="K6" i="4"/>
  <c r="K7" i="4" s="1"/>
  <c r="K5" i="4"/>
  <c r="J107" i="4"/>
  <c r="K104" i="4" s="1"/>
  <c r="K107" i="4" s="1"/>
  <c r="L104" i="4" s="1"/>
  <c r="L107" i="4" s="1"/>
  <c r="I14" i="7"/>
  <c r="I28" i="6"/>
  <c r="J128" i="4"/>
  <c r="J133" i="4" s="1"/>
  <c r="J16" i="6" s="1"/>
  <c r="J9" i="5"/>
  <c r="J71" i="4"/>
  <c r="K6" i="5"/>
  <c r="J7" i="5"/>
  <c r="K5" i="5"/>
  <c r="I112" i="4"/>
  <c r="L9" i="5"/>
  <c r="L128" i="4"/>
  <c r="L133" i="4" s="1"/>
  <c r="L16" i="6" s="1"/>
  <c r="L71" i="4"/>
  <c r="K9" i="5"/>
  <c r="K128" i="4"/>
  <c r="K133" i="4" s="1"/>
  <c r="K16" i="6" s="1"/>
  <c r="K71" i="4"/>
  <c r="H19" i="5"/>
  <c r="H10" i="7"/>
  <c r="H19" i="7" s="1"/>
  <c r="H38" i="7" s="1"/>
  <c r="H40" i="7" s="1"/>
  <c r="J101" i="4"/>
  <c r="K98" i="4" s="1"/>
  <c r="K101" i="4" s="1"/>
  <c r="L98" i="4" s="1"/>
  <c r="L101" i="4" s="1"/>
  <c r="J95" i="4"/>
  <c r="K92" i="4" s="1"/>
  <c r="K95" i="4" s="1"/>
  <c r="L92" i="4" s="1"/>
  <c r="L95" i="4" s="1"/>
  <c r="L112" i="4"/>
  <c r="L18" i="5" s="1"/>
  <c r="I128" i="4"/>
  <c r="I133" i="4" s="1"/>
  <c r="I16" i="6" s="1"/>
  <c r="I9" i="5"/>
  <c r="I11" i="5" s="1"/>
  <c r="L13" i="7" l="1"/>
  <c r="K129" i="4"/>
  <c r="L6" i="5"/>
  <c r="L7" i="5" s="1"/>
  <c r="K7" i="5"/>
  <c r="L5" i="5"/>
  <c r="L6" i="6"/>
  <c r="L7" i="6" s="1"/>
  <c r="K7" i="6"/>
  <c r="L5" i="6"/>
  <c r="I14" i="5"/>
  <c r="I17" i="5" s="1"/>
  <c r="I12" i="5"/>
  <c r="I18" i="5"/>
  <c r="I113" i="4"/>
  <c r="J11" i="5"/>
  <c r="J129" i="4"/>
  <c r="I39" i="7"/>
  <c r="H14" i="6"/>
  <c r="H19" i="6" s="1"/>
  <c r="K11" i="5"/>
  <c r="L11" i="5"/>
  <c r="L129" i="4"/>
  <c r="I23" i="6"/>
  <c r="I24" i="6" s="1"/>
  <c r="I30" i="6" s="1"/>
  <c r="J150" i="4"/>
  <c r="J154" i="4" s="1"/>
  <c r="K7" i="7"/>
  <c r="L5" i="7"/>
  <c r="L6" i="7"/>
  <c r="L7" i="7" s="1"/>
  <c r="L5" i="4"/>
  <c r="L6" i="4"/>
  <c r="L7" i="4" s="1"/>
  <c r="J13" i="7"/>
  <c r="I13" i="7"/>
  <c r="I15" i="7" s="1"/>
  <c r="H20" i="5"/>
  <c r="H23" i="5"/>
  <c r="H25" i="5" s="1"/>
  <c r="K13" i="7"/>
  <c r="L12" i="5" l="1"/>
  <c r="L17" i="5"/>
  <c r="L14" i="5"/>
  <c r="J17" i="5"/>
  <c r="J14" i="5"/>
  <c r="J12" i="5"/>
  <c r="I19" i="5"/>
  <c r="I10" i="7"/>
  <c r="K14" i="5"/>
  <c r="K12" i="5"/>
  <c r="K17" i="5"/>
  <c r="K135" i="4"/>
  <c r="K27" i="6" s="1"/>
  <c r="K132" i="4"/>
  <c r="K15" i="6" s="1"/>
  <c r="J23" i="6"/>
  <c r="J24" i="6" s="1"/>
  <c r="K150" i="4"/>
  <c r="K154" i="4" s="1"/>
  <c r="K23" i="6" s="1"/>
  <c r="K24" i="6" s="1"/>
  <c r="J135" i="4"/>
  <c r="J27" i="6" s="1"/>
  <c r="J132" i="4"/>
  <c r="J15" i="6" s="1"/>
  <c r="I10" i="6"/>
  <c r="I11" i="6" s="1"/>
  <c r="J110" i="4"/>
  <c r="J113" i="4" s="1"/>
  <c r="H26" i="5"/>
  <c r="H30" i="5"/>
  <c r="H32" i="5" s="1"/>
  <c r="L135" i="4"/>
  <c r="L27" i="6" s="1"/>
  <c r="L132" i="4"/>
  <c r="L15" i="6" s="1"/>
  <c r="I23" i="5" l="1"/>
  <c r="I20" i="5"/>
  <c r="L19" i="5"/>
  <c r="L10" i="7"/>
  <c r="K110" i="4"/>
  <c r="K113" i="4" s="1"/>
  <c r="J10" i="6"/>
  <c r="J11" i="6" s="1"/>
  <c r="K12" i="7"/>
  <c r="K15" i="7" s="1"/>
  <c r="J12" i="7"/>
  <c r="J15" i="7" s="1"/>
  <c r="L12" i="7"/>
  <c r="L14" i="7"/>
  <c r="L28" i="6"/>
  <c r="L30" i="6" s="1"/>
  <c r="K19" i="5"/>
  <c r="K10" i="7"/>
  <c r="J10" i="7"/>
  <c r="J19" i="5"/>
  <c r="H34" i="6"/>
  <c r="H35" i="6" s="1"/>
  <c r="H37" i="6" s="1"/>
  <c r="I29" i="5"/>
  <c r="J14" i="7"/>
  <c r="J28" i="6"/>
  <c r="J30" i="6" s="1"/>
  <c r="K28" i="6"/>
  <c r="K30" i="6" s="1"/>
  <c r="K14" i="7"/>
  <c r="L15" i="7" l="1"/>
  <c r="K23" i="5"/>
  <c r="K20" i="5"/>
  <c r="L20" i="5"/>
  <c r="L23" i="5"/>
  <c r="I24" i="5"/>
  <c r="I17" i="7" s="1"/>
  <c r="I19" i="7" s="1"/>
  <c r="J23" i="5"/>
  <c r="J20" i="5"/>
  <c r="K10" i="6"/>
  <c r="K11" i="6" s="1"/>
  <c r="L110" i="4"/>
  <c r="L113" i="4" s="1"/>
  <c r="L10" i="6" s="1"/>
  <c r="L11" i="6" s="1"/>
  <c r="J24" i="5" l="1"/>
  <c r="J17" i="7" s="1"/>
  <c r="J19" i="7" s="1"/>
  <c r="K24" i="5"/>
  <c r="K17" i="7" s="1"/>
  <c r="K19" i="7" s="1"/>
  <c r="L24" i="5"/>
  <c r="L17" i="7" s="1"/>
  <c r="L19" i="7" s="1"/>
  <c r="I25" i="5"/>
  <c r="I26" i="5" l="1"/>
  <c r="I30" i="5"/>
  <c r="L25" i="5"/>
  <c r="J25" i="5"/>
  <c r="K25" i="5"/>
  <c r="J30" i="5" l="1"/>
  <c r="J31" i="5" s="1"/>
  <c r="J33" i="7" s="1"/>
  <c r="J35" i="7" s="1"/>
  <c r="J38" i="7" s="1"/>
  <c r="J26" i="5"/>
  <c r="L26" i="5"/>
  <c r="L30" i="5"/>
  <c r="L31" i="5" s="1"/>
  <c r="L33" i="7" s="1"/>
  <c r="L35" i="7" s="1"/>
  <c r="L38" i="7" s="1"/>
  <c r="I31" i="5"/>
  <c r="I33" i="7" s="1"/>
  <c r="I35" i="7" s="1"/>
  <c r="I38" i="7" s="1"/>
  <c r="I40" i="7" s="1"/>
  <c r="K30" i="5"/>
  <c r="K31" i="5" s="1"/>
  <c r="K33" i="7" s="1"/>
  <c r="K35" i="7" s="1"/>
  <c r="K38" i="7" s="1"/>
  <c r="K26" i="5"/>
  <c r="I32" i="5" l="1"/>
  <c r="J39" i="7"/>
  <c r="J40" i="7" s="1"/>
  <c r="I14" i="6"/>
  <c r="I17" i="6" s="1"/>
  <c r="I19" i="6" s="1"/>
  <c r="K39" i="7" l="1"/>
  <c r="K40" i="7" s="1"/>
  <c r="J14" i="6"/>
  <c r="J17" i="6" s="1"/>
  <c r="J19" i="6" s="1"/>
  <c r="I34" i="6"/>
  <c r="I35" i="6" s="1"/>
  <c r="I37" i="6" s="1"/>
  <c r="I40" i="6" s="1"/>
  <c r="J29" i="5"/>
  <c r="J32" i="5" s="1"/>
  <c r="J34" i="6" l="1"/>
  <c r="J35" i="6" s="1"/>
  <c r="J37" i="6" s="1"/>
  <c r="J40" i="6" s="1"/>
  <c r="K29" i="5"/>
  <c r="K32" i="5" s="1"/>
  <c r="I39" i="6"/>
  <c r="L39" i="7"/>
  <c r="L40" i="7" s="1"/>
  <c r="L14" i="6" s="1"/>
  <c r="L17" i="6" s="1"/>
  <c r="L19" i="6" s="1"/>
  <c r="K14" i="6"/>
  <c r="K17" i="6" s="1"/>
  <c r="K19" i="6" s="1"/>
  <c r="J39" i="6" l="1"/>
  <c r="L29" i="5"/>
  <c r="L32" i="5" s="1"/>
  <c r="L34" i="6" s="1"/>
  <c r="L35" i="6" s="1"/>
  <c r="L37" i="6" s="1"/>
  <c r="L40" i="6" s="1"/>
  <c r="K34" i="6"/>
  <c r="K35" i="6" s="1"/>
  <c r="K37" i="6" s="1"/>
  <c r="K40" i="6" s="1"/>
  <c r="L39" i="6" l="1"/>
  <c r="K39" i="6"/>
</calcChain>
</file>

<file path=xl/sharedStrings.xml><?xml version="1.0" encoding="utf-8"?>
<sst xmlns="http://schemas.openxmlformats.org/spreadsheetml/2006/main" count="299" uniqueCount="208">
  <si>
    <t>Model Guide</t>
  </si>
  <si>
    <t>Inputs</t>
  </si>
  <si>
    <t>Descriptions</t>
  </si>
  <si>
    <t>Historical</t>
  </si>
  <si>
    <t>Note</t>
  </si>
  <si>
    <t>Forecast</t>
  </si>
  <si>
    <t>Start Date</t>
  </si>
  <si>
    <t>End Date</t>
  </si>
  <si>
    <t>Model Details</t>
  </si>
  <si>
    <t>Counter</t>
  </si>
  <si>
    <t>This section highlights informations about the company being modelled</t>
  </si>
  <si>
    <t>Company Information</t>
  </si>
  <si>
    <t>Revenue</t>
  </si>
  <si>
    <t>Name of the Company</t>
  </si>
  <si>
    <t>Business Location</t>
  </si>
  <si>
    <t>Nigeria</t>
  </si>
  <si>
    <t>Industry</t>
  </si>
  <si>
    <t>Mining</t>
  </si>
  <si>
    <t>Units</t>
  </si>
  <si>
    <t>Input</t>
  </si>
  <si>
    <t>Purpose of the Model</t>
  </si>
  <si>
    <t>Model Information</t>
  </si>
  <si>
    <t>General &amp; Macro-economic</t>
  </si>
  <si>
    <t>Model Owner</t>
  </si>
  <si>
    <t>Direct Cost</t>
  </si>
  <si>
    <t>Circularity in Model</t>
  </si>
  <si>
    <t>Assumptions</t>
  </si>
  <si>
    <t>Timing</t>
  </si>
  <si>
    <t>Iteration Toggle</t>
  </si>
  <si>
    <t>Currency</t>
  </si>
  <si>
    <t>Inflation</t>
  </si>
  <si>
    <t>%</t>
  </si>
  <si>
    <t>Version</t>
  </si>
  <si>
    <t>Vs 1.0</t>
  </si>
  <si>
    <t>% of Revenue</t>
  </si>
  <si>
    <t>Last Updated:</t>
  </si>
  <si>
    <t>Office and Admin expeses</t>
  </si>
  <si>
    <t>% of Gross Profit</t>
  </si>
  <si>
    <t>Current Modeller</t>
  </si>
  <si>
    <t>Notes to the accounts</t>
  </si>
  <si>
    <t>Revenue Assumptions</t>
  </si>
  <si>
    <t>Model Structure and Navigation</t>
  </si>
  <si>
    <t>This section highlights the model structure and navigation</t>
  </si>
  <si>
    <t>Kaolin Sales per year</t>
  </si>
  <si>
    <t>Office and Admin expenses</t>
  </si>
  <si>
    <t>Major Timings</t>
  </si>
  <si>
    <t>Price per ton</t>
  </si>
  <si>
    <t>Model Start Date</t>
  </si>
  <si>
    <t>Payroll</t>
  </si>
  <si>
    <t>Tons per year</t>
  </si>
  <si>
    <t>Model forecast period</t>
  </si>
  <si>
    <t>105 trucks per week x 45 tons</t>
  </si>
  <si>
    <t>Month in each period</t>
  </si>
  <si>
    <t>Total Sales</t>
  </si>
  <si>
    <t>Insurance Payments</t>
  </si>
  <si>
    <t>Quarter in a year</t>
  </si>
  <si>
    <t>Weeks in a year</t>
  </si>
  <si>
    <t>Revenue from Logistics</t>
  </si>
  <si>
    <t>Days in a year</t>
  </si>
  <si>
    <t>Tons</t>
  </si>
  <si>
    <t>80 trucks per week</t>
  </si>
  <si>
    <t>Number of working days in a week</t>
  </si>
  <si>
    <t>Number of working days in a year</t>
  </si>
  <si>
    <t>Model Forecast Start Year</t>
  </si>
  <si>
    <t>Total Revenue</t>
  </si>
  <si>
    <t>Model forecast end year</t>
  </si>
  <si>
    <t>Cost of Sales Assuptions</t>
  </si>
  <si>
    <t>Depreciation</t>
  </si>
  <si>
    <t>Direct Cost of Kaolin</t>
  </si>
  <si>
    <t>Escavator diesel cost</t>
  </si>
  <si>
    <t>Diesel (on-site) per litre</t>
  </si>
  <si>
    <t>No of litres (20 hrs per day)</t>
  </si>
  <si>
    <t>No of days</t>
  </si>
  <si>
    <t>Total cost</t>
  </si>
  <si>
    <t>Logistics(on-site)</t>
  </si>
  <si>
    <t>Escavator</t>
  </si>
  <si>
    <t>Logistics(on-site) cost per day</t>
  </si>
  <si>
    <t>Bulldozer</t>
  </si>
  <si>
    <t>No. of days</t>
  </si>
  <si>
    <t xml:space="preserve">Operator wages </t>
  </si>
  <si>
    <t>Operator wages per day(3 operator)</t>
  </si>
  <si>
    <t>Total wages</t>
  </si>
  <si>
    <t>Bulldozer diesel cost</t>
  </si>
  <si>
    <t>Total Cost of Kaolin</t>
  </si>
  <si>
    <t>Direct Cost of Logistics</t>
  </si>
  <si>
    <t>Diesel</t>
  </si>
  <si>
    <t>Drivers wages</t>
  </si>
  <si>
    <t>Total Cost of Sales</t>
  </si>
  <si>
    <t>Office and Admin Expenses</t>
  </si>
  <si>
    <t>% of Gross profit</t>
  </si>
  <si>
    <t>Headcount</t>
  </si>
  <si>
    <t>Drivers</t>
  </si>
  <si>
    <t>Mechanic</t>
  </si>
  <si>
    <t>Manager</t>
  </si>
  <si>
    <t>Total</t>
  </si>
  <si>
    <t>PPE</t>
  </si>
  <si>
    <t>Useful Life</t>
  </si>
  <si>
    <t>Trucks (5)</t>
  </si>
  <si>
    <t>Total PPE at cost</t>
  </si>
  <si>
    <t>Opening Balance</t>
  </si>
  <si>
    <t>Additions</t>
  </si>
  <si>
    <t>Closing Balance/ Net Book Value</t>
  </si>
  <si>
    <t>Trucks</t>
  </si>
  <si>
    <t>Total CAPEX</t>
  </si>
  <si>
    <t>Insurance Cost</t>
  </si>
  <si>
    <t>Tax Assumptions</t>
  </si>
  <si>
    <t>Company Income Tax</t>
  </si>
  <si>
    <t>Development Levy</t>
  </si>
  <si>
    <t>Operating Working Capital</t>
  </si>
  <si>
    <t>Days</t>
  </si>
  <si>
    <t>Days in a period</t>
  </si>
  <si>
    <t>Cost of sales</t>
  </si>
  <si>
    <t>Assets</t>
  </si>
  <si>
    <t>Inventory</t>
  </si>
  <si>
    <t>Receivables</t>
  </si>
  <si>
    <t>Liabilities</t>
  </si>
  <si>
    <t>Payables</t>
  </si>
  <si>
    <t>Funding Requirement</t>
  </si>
  <si>
    <t>Capital Split</t>
  </si>
  <si>
    <t>Equity</t>
  </si>
  <si>
    <t>Debt</t>
  </si>
  <si>
    <t>Debt Schedule</t>
  </si>
  <si>
    <t>Loan Amount</t>
  </si>
  <si>
    <t>Interest Rate</t>
  </si>
  <si>
    <t>Tenor</t>
  </si>
  <si>
    <t>Moratorium</t>
  </si>
  <si>
    <t>Number of Periods</t>
  </si>
  <si>
    <t>Addition</t>
  </si>
  <si>
    <t>Principal Repayment</t>
  </si>
  <si>
    <t>Interest Repayment</t>
  </si>
  <si>
    <t>Closing Balance</t>
  </si>
  <si>
    <t>Income Statement</t>
  </si>
  <si>
    <t>Cost of Sales</t>
  </si>
  <si>
    <t>Gross Profit</t>
  </si>
  <si>
    <t>Gross Profit Margin</t>
  </si>
  <si>
    <t>EBITDA</t>
  </si>
  <si>
    <t>Depreciation and Amortisation</t>
  </si>
  <si>
    <t>EBIT</t>
  </si>
  <si>
    <t>Operating Profit Margin</t>
  </si>
  <si>
    <t>Interest Expenses</t>
  </si>
  <si>
    <t>EBT/PBT</t>
  </si>
  <si>
    <t>Tax</t>
  </si>
  <si>
    <t>Net Profit/PAT</t>
  </si>
  <si>
    <t>Net Profit Margin</t>
  </si>
  <si>
    <t>Retained Earnings</t>
  </si>
  <si>
    <t>PAT</t>
  </si>
  <si>
    <t>Dividend</t>
  </si>
  <si>
    <t>Statement of Financial Position</t>
  </si>
  <si>
    <t>Non Current Assets</t>
  </si>
  <si>
    <t>Plant Properties and Equipment</t>
  </si>
  <si>
    <t>Total Non Current Assets</t>
  </si>
  <si>
    <t>Current Assets</t>
  </si>
  <si>
    <t>Cash</t>
  </si>
  <si>
    <t>Total Current Assets</t>
  </si>
  <si>
    <t>Total Assets</t>
  </si>
  <si>
    <t>Non Current Liabilities</t>
  </si>
  <si>
    <t>Term Loan</t>
  </si>
  <si>
    <t>Total Non Current Liabilities</t>
  </si>
  <si>
    <t>Current Liabilities</t>
  </si>
  <si>
    <t>Total Current Liabilities</t>
  </si>
  <si>
    <t>Total Liabilities</t>
  </si>
  <si>
    <t>Equity Injection/Share Capital</t>
  </si>
  <si>
    <t>Total Equity</t>
  </si>
  <si>
    <t>Total Liabilities and Equity</t>
  </si>
  <si>
    <t>Total Asset = Total Liabilities + Equity</t>
  </si>
  <si>
    <t>Check</t>
  </si>
  <si>
    <t>Cashflow Statement</t>
  </si>
  <si>
    <t>Cashflows from Operating Activities</t>
  </si>
  <si>
    <t>Adjust for Changes in Working Capital</t>
  </si>
  <si>
    <t>Net changes in working capital</t>
  </si>
  <si>
    <t>Total Cashflows from Operating Activities</t>
  </si>
  <si>
    <t>Cashflows from Investing Activities</t>
  </si>
  <si>
    <t>Total Cashflows from Investing Activites</t>
  </si>
  <si>
    <t>Cashflows from Financing Activities</t>
  </si>
  <si>
    <t>Equity Injection</t>
  </si>
  <si>
    <t>Total Cashflows from Financing Activites</t>
  </si>
  <si>
    <t>Cash During the Year</t>
  </si>
  <si>
    <t>Cash at the Beginning</t>
  </si>
  <si>
    <t>Cash at the End of the Year</t>
  </si>
  <si>
    <t>For Learning Only</t>
  </si>
  <si>
    <t>Hisorical</t>
  </si>
  <si>
    <t>Notes</t>
  </si>
  <si>
    <t>Sheet Sructure</t>
  </si>
  <si>
    <t>Cover page</t>
  </si>
  <si>
    <t>Guide</t>
  </si>
  <si>
    <t>Cash Flow Statement</t>
  </si>
  <si>
    <t>% of Total Cost</t>
  </si>
  <si>
    <t>Financial Model from 2026 to 2029</t>
  </si>
  <si>
    <t>Modeler's Name:</t>
  </si>
  <si>
    <t>Contact Information:</t>
  </si>
  <si>
    <t>Purpose:</t>
  </si>
  <si>
    <t>Glossary</t>
  </si>
  <si>
    <t>This section highlights the key terms applied in the model</t>
  </si>
  <si>
    <t>Key terms</t>
  </si>
  <si>
    <t>Terms</t>
  </si>
  <si>
    <t>Description</t>
  </si>
  <si>
    <t>IS</t>
  </si>
  <si>
    <t>SOFP</t>
  </si>
  <si>
    <t>CFS</t>
  </si>
  <si>
    <t>EAT/PAT</t>
  </si>
  <si>
    <t>Property, Plants and Equipments</t>
  </si>
  <si>
    <t>Earnings Before Interest, Tax, Depreciation and Amortization</t>
  </si>
  <si>
    <t>Earnings Before Interest and Tax</t>
  </si>
  <si>
    <t>Earnings Before Tax/Profit Before Tax</t>
  </si>
  <si>
    <t>Earnings After Tax/Profit After Tax</t>
  </si>
  <si>
    <t>John Ezugworie</t>
  </si>
  <si>
    <t>Cronyx Mining Ltd</t>
  </si>
  <si>
    <t>john.ezugworie31@gmail.com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</si>
</sst>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d&quot;-&quot;mmm&quot;-&quot;yyyy"/>
    <numFmt numFmtId="165" formatCode="_(* #,##0_);_(* \(#,##0\);_(* &quot;-&quot;??_);_(@_)"/>
    <numFmt numFmtId="166" formatCode="0&quot;F&quot;"/>
    <numFmt numFmtId="167" formatCode="0.0%"/>
    <numFmt numFmtId="168" formatCode="_-* #,##0_-;\-* #,##0_-;_-* &quot;-&quot;??_-;_-@_-"/>
  </numFmts>
  <fonts count="27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rgb="FF3F3F76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24"/>
      <color theme="0"/>
      <name val="Calibri"/>
      <family val="2"/>
      <scheme val="major"/>
    </font>
    <font>
      <b/>
      <sz val="11"/>
      <color theme="1"/>
      <name val="Times New Roman"/>
      <family val="1"/>
    </font>
    <font>
      <sz val="12"/>
      <color theme="4" tint="-0.499984740745262"/>
      <name val="Times New Roman"/>
      <family val="1"/>
    </font>
    <font>
      <sz val="12"/>
      <color rgb="FF3F3F76"/>
      <name val="Calibri"/>
      <family val="2"/>
      <scheme val="minor"/>
    </font>
    <font>
      <sz val="12"/>
      <color theme="4" tint="-0.24994659260841701"/>
      <name val="Times New Roman"/>
      <family val="1"/>
    </font>
    <font>
      <b/>
      <sz val="12"/>
      <color theme="3"/>
      <name val="Times New Roman"/>
      <family val="1"/>
    </font>
    <font>
      <b/>
      <sz val="12"/>
      <color theme="4" tint="-0.24994659260841701"/>
      <name val="Times New Roman"/>
      <family val="1"/>
    </font>
    <font>
      <b/>
      <u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ajor"/>
    </font>
    <font>
      <i/>
      <sz val="12"/>
      <color rgb="FF7F7F7F"/>
      <name val="Calibri"/>
      <family val="2"/>
      <scheme val="minor"/>
    </font>
    <font>
      <b/>
      <sz val="24"/>
      <color theme="0"/>
      <name val="Times New Roman"/>
      <family val="1"/>
    </font>
    <font>
      <i/>
      <sz val="11"/>
      <color rgb="FF7F7F7F"/>
      <name val="Times New Roman"/>
      <family val="1"/>
    </font>
    <font>
      <b/>
      <u/>
      <sz val="12"/>
      <color theme="1"/>
      <name val="Times New Roman"/>
      <family val="1"/>
    </font>
    <font>
      <sz val="28"/>
      <color theme="1"/>
      <name val="Arial Black"/>
      <family val="2"/>
    </font>
    <font>
      <i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5" tint="-0.499984740745262"/>
      <name val="Times New Roman"/>
      <family val="1"/>
    </font>
    <font>
      <b/>
      <sz val="16"/>
      <color theme="5" tint="-0.49998474074526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1"/>
      </top>
      <bottom style="thick">
        <color theme="1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/>
      <bottom style="thick">
        <color theme="1" tint="0.499984740745262"/>
      </bottom>
      <diagonal/>
    </border>
    <border>
      <left/>
      <right/>
      <top/>
      <bottom style="thick">
        <color theme="4" tint="-0.24994659260841701"/>
      </bottom>
      <diagonal/>
    </border>
    <border>
      <left/>
      <right/>
      <top/>
      <bottom style="thick">
        <color theme="5" tint="-0.499984740745262"/>
      </bottom>
      <diagonal/>
    </border>
  </borders>
  <cellStyleXfs count="16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4" borderId="0" applyNumberFormat="0" applyProtection="0"/>
    <xf numFmtId="0" fontId="25" fillId="0" borderId="8" applyNumberFormat="0" applyFill="0" applyAlignment="0" applyProtection="0"/>
    <xf numFmtId="0" fontId="15" fillId="0" borderId="7" applyNumberFormat="0" applyFill="0" applyAlignment="0" applyProtection="0"/>
    <xf numFmtId="0" fontId="14" fillId="0" borderId="6" applyNumberFormat="0" applyFill="0" applyAlignment="0" applyProtection="0"/>
    <xf numFmtId="0" fontId="12" fillId="3" borderId="1" applyNumberFormat="0" applyAlignment="0" applyProtection="0"/>
    <xf numFmtId="0" fontId="2" fillId="2" borderId="1" applyNumberFormat="0" applyAlignment="0" applyProtection="0"/>
    <xf numFmtId="0" fontId="11" fillId="0" borderId="5" applyNumberFormat="0" applyFill="0" applyAlignment="0" applyProtection="0"/>
    <xf numFmtId="0" fontId="8" fillId="0" borderId="0" applyNumberFormat="0" applyFill="0" applyBorder="0" applyAlignment="0" applyProtection="0"/>
    <xf numFmtId="165" fontId="3" fillId="0" borderId="4" applyFill="0" applyAlignment="0" applyProtection="0"/>
    <xf numFmtId="165" fontId="3" fillId="0" borderId="3" applyFill="0" applyAlignment="0" applyProtection="0"/>
    <xf numFmtId="165" fontId="13" fillId="0" borderId="3" applyFill="0" applyBorder="0" applyAlignment="0" applyProtection="0"/>
    <xf numFmtId="0" fontId="26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3" fillId="0" borderId="0" xfId="0" applyNumberFormat="1" applyFont="1"/>
    <xf numFmtId="0" fontId="4" fillId="0" borderId="0" xfId="0" applyFont="1"/>
    <xf numFmtId="0" fontId="3" fillId="0" borderId="0" xfId="0" applyFont="1"/>
    <xf numFmtId="166" fontId="2" fillId="0" borderId="0" xfId="0" applyNumberFormat="1" applyFont="1" applyAlignment="1">
      <alignment horizontal="right"/>
    </xf>
    <xf numFmtId="9" fontId="1" fillId="0" borderId="0" xfId="0" applyNumberFormat="1" applyFont="1"/>
    <xf numFmtId="41" fontId="2" fillId="0" borderId="0" xfId="0" applyNumberFormat="1" applyFont="1"/>
    <xf numFmtId="41" fontId="1" fillId="0" borderId="0" xfId="0" applyNumberFormat="1" applyFont="1"/>
    <xf numFmtId="165" fontId="1" fillId="0" borderId="0" xfId="0" applyNumberFormat="1" applyFont="1"/>
    <xf numFmtId="3" fontId="3" fillId="0" borderId="0" xfId="0" applyNumberFormat="1" applyFont="1"/>
    <xf numFmtId="0" fontId="6" fillId="0" borderId="0" xfId="0" applyFont="1"/>
    <xf numFmtId="3" fontId="1" fillId="0" borderId="0" xfId="0" applyNumberFormat="1" applyFont="1" applyAlignment="1">
      <alignment horizontal="right"/>
    </xf>
    <xf numFmtId="165" fontId="2" fillId="0" borderId="0" xfId="0" applyNumberFormat="1" applyFont="1"/>
    <xf numFmtId="0" fontId="3" fillId="0" borderId="0" xfId="0" applyFont="1" applyAlignment="1">
      <alignment horizontal="center"/>
    </xf>
    <xf numFmtId="164" fontId="4" fillId="0" borderId="0" xfId="0" applyNumberFormat="1" applyFont="1"/>
    <xf numFmtId="167" fontId="2" fillId="0" borderId="0" xfId="0" applyNumberFormat="1" applyFont="1"/>
    <xf numFmtId="0" fontId="8" fillId="0" borderId="0" xfId="10"/>
    <xf numFmtId="0" fontId="8" fillId="0" borderId="0" xfId="10" applyAlignment="1">
      <alignment horizontal="center"/>
    </xf>
    <xf numFmtId="0" fontId="8" fillId="0" borderId="0" xfId="10" applyAlignment="1">
      <alignment horizontal="right"/>
    </xf>
    <xf numFmtId="0" fontId="25" fillId="0" borderId="8" xfId="4"/>
    <xf numFmtId="0" fontId="9" fillId="4" borderId="0" xfId="3"/>
    <xf numFmtId="165" fontId="3" fillId="0" borderId="3" xfId="12"/>
    <xf numFmtId="0" fontId="15" fillId="0" borderId="7" xfId="5"/>
    <xf numFmtId="0" fontId="26" fillId="0" borderId="0" xfId="14"/>
    <xf numFmtId="0" fontId="16" fillId="0" borderId="0" xfId="0" applyFont="1"/>
    <xf numFmtId="165" fontId="3" fillId="0" borderId="4" xfId="11"/>
    <xf numFmtId="9" fontId="3" fillId="0" borderId="4" xfId="2" applyFont="1" applyBorder="1"/>
    <xf numFmtId="165" fontId="3" fillId="0" borderId="3" xfId="12" applyAlignment="1">
      <alignment horizontal="center"/>
    </xf>
    <xf numFmtId="165" fontId="3" fillId="0" borderId="4" xfId="11" applyAlignment="1">
      <alignment horizontal="center"/>
    </xf>
    <xf numFmtId="0" fontId="17" fillId="4" borderId="0" xfId="3" applyFont="1"/>
    <xf numFmtId="0" fontId="18" fillId="0" borderId="0" xfId="10" applyFont="1"/>
    <xf numFmtId="0" fontId="18" fillId="0" borderId="0" xfId="10" applyFont="1" applyAlignment="1">
      <alignment horizontal="center"/>
    </xf>
    <xf numFmtId="0" fontId="18" fillId="0" borderId="0" xfId="10" applyFont="1" applyAlignment="1">
      <alignment horizontal="right"/>
    </xf>
    <xf numFmtId="166" fontId="1" fillId="0" borderId="0" xfId="0" applyNumberFormat="1" applyFont="1" applyAlignment="1">
      <alignment horizontal="right"/>
    </xf>
    <xf numFmtId="165" fontId="3" fillId="0" borderId="0" xfId="0" applyNumberFormat="1" applyFont="1"/>
    <xf numFmtId="41" fontId="3" fillId="0" borderId="0" xfId="0" applyNumberFormat="1" applyFont="1"/>
    <xf numFmtId="0" fontId="1" fillId="0" borderId="2" xfId="0" applyFont="1" applyBorder="1"/>
    <xf numFmtId="41" fontId="1" fillId="0" borderId="2" xfId="0" applyNumberFormat="1" applyFont="1" applyBorder="1"/>
    <xf numFmtId="165" fontId="1" fillId="0" borderId="3" xfId="12" applyFont="1"/>
    <xf numFmtId="0" fontId="19" fillId="4" borderId="0" xfId="3" applyFont="1"/>
    <xf numFmtId="0" fontId="20" fillId="0" borderId="0" xfId="10" applyFont="1"/>
    <xf numFmtId="0" fontId="20" fillId="0" borderId="0" xfId="10" applyFont="1" applyAlignment="1">
      <alignment horizontal="right"/>
    </xf>
    <xf numFmtId="0" fontId="21" fillId="0" borderId="0" xfId="0" applyFont="1"/>
    <xf numFmtId="0" fontId="10" fillId="0" borderId="0" xfId="0" applyFont="1"/>
    <xf numFmtId="0" fontId="19" fillId="4" borderId="0" xfId="3" applyFont="1" applyAlignment="1">
      <alignment vertical="center"/>
    </xf>
    <xf numFmtId="166" fontId="3" fillId="0" borderId="0" xfId="0" applyNumberFormat="1" applyFont="1" applyAlignment="1">
      <alignment horizontal="right"/>
    </xf>
    <xf numFmtId="9" fontId="5" fillId="3" borderId="1" xfId="7" applyNumberFormat="1" applyFont="1"/>
    <xf numFmtId="41" fontId="15" fillId="0" borderId="7" xfId="5" applyNumberFormat="1"/>
    <xf numFmtId="41" fontId="5" fillId="3" borderId="1" xfId="7" applyNumberFormat="1" applyFont="1"/>
    <xf numFmtId="41" fontId="1" fillId="2" borderId="1" xfId="8" applyNumberFormat="1" applyFont="1"/>
    <xf numFmtId="3" fontId="1" fillId="2" borderId="1" xfId="8" applyNumberFormat="1" applyFont="1"/>
    <xf numFmtId="3" fontId="15" fillId="0" borderId="7" xfId="5" applyNumberFormat="1" applyAlignment="1">
      <alignment horizontal="right"/>
    </xf>
    <xf numFmtId="165" fontId="15" fillId="0" borderId="7" xfId="5" applyNumberFormat="1"/>
    <xf numFmtId="168" fontId="1" fillId="0" borderId="0" xfId="1" applyNumberFormat="1" applyFont="1"/>
    <xf numFmtId="0" fontId="5" fillId="3" borderId="1" xfId="7" applyFont="1"/>
    <xf numFmtId="0" fontId="22" fillId="0" borderId="0" xfId="0" applyFont="1"/>
    <xf numFmtId="0" fontId="23" fillId="0" borderId="0" xfId="0" applyFont="1"/>
    <xf numFmtId="165" fontId="25" fillId="0" borderId="8" xfId="4" applyNumberFormat="1"/>
    <xf numFmtId="0" fontId="12" fillId="3" borderId="1" xfId="7"/>
    <xf numFmtId="164" fontId="12" fillId="3" borderId="1" xfId="7" applyNumberFormat="1"/>
    <xf numFmtId="0" fontId="2" fillId="2" borderId="1" xfId="8"/>
    <xf numFmtId="165" fontId="12" fillId="3" borderId="1" xfId="7" applyNumberFormat="1"/>
    <xf numFmtId="9" fontId="11" fillId="0" borderId="5" xfId="9" applyNumberFormat="1"/>
    <xf numFmtId="0" fontId="24" fillId="0" borderId="0" xfId="15"/>
    <xf numFmtId="0" fontId="9" fillId="4" borderId="0" xfId="3" applyAlignment="1">
      <alignment vertical="center"/>
    </xf>
  </cellXfs>
  <cellStyles count="16">
    <cellStyle name="Calculation" xfId="8" builtinId="22" customBuiltin="1"/>
    <cellStyle name="Comma" xfId="1" builtinId="3"/>
    <cellStyle name="Explanatory Text" xfId="10" builtinId="53"/>
    <cellStyle name="Heading 1" xfId="4" builtinId="16" customBuiltin="1"/>
    <cellStyle name="Heading 2" xfId="5" builtinId="17" customBuiltin="1"/>
    <cellStyle name="Heading 3" xfId="6" builtinId="18" customBuiltin="1"/>
    <cellStyle name="Historical" xfId="13" xr:uid="{63AA6C24-902C-4B22-82AB-F080796FF373}"/>
    <cellStyle name="Hyperlink" xfId="15" builtinId="8"/>
    <cellStyle name="Input" xfId="7" builtinId="20" customBuiltin="1"/>
    <cellStyle name="Linked Cell" xfId="9" builtinId="24" customBuiltin="1"/>
    <cellStyle name="Normal" xfId="0" builtinId="0"/>
    <cellStyle name="Percent" xfId="2" builtinId="5"/>
    <cellStyle name="Sub-Title" xfId="14" xr:uid="{987C2FBF-8904-4686-B9F3-4E30B2DC0E00}"/>
    <cellStyle name="Sub-Total" xfId="12" xr:uid="{69C8706D-FCF6-465A-A712-52D83D6956A7}"/>
    <cellStyle name="Title" xfId="3" builtinId="15" customBuiltin="1"/>
    <cellStyle name="Total" xfId="11" builtinId="25" customBuiltin="1"/>
  </cellStyles>
  <dxfs count="2">
    <dxf>
      <font>
        <strike val="0"/>
        <color rgb="FFFF0000"/>
      </font>
    </dxf>
    <dxf>
      <font>
        <strike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60961</xdr:colOff>
      <xdr:row>5</xdr:row>
      <xdr:rowOff>182881</xdr:rowOff>
    </xdr:from>
    <xdr:to>
      <xdr:col>13</xdr:col>
      <xdr:colOff>594361</xdr:colOff>
      <xdr:row>17</xdr:row>
      <xdr:rowOff>166707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B401D9-E040-9080-BD12-201062FCA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3581" y="1531621"/>
          <a:ext cx="5410200" cy="23612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739140</xdr:colOff>
      <xdr:row>1</xdr:row>
      <xdr:rowOff>15240</xdr:rowOff>
    </xdr:from>
    <xdr:to>
      <xdr:col>10</xdr:col>
      <xdr:colOff>960120</xdr:colOff>
      <xdr:row>1</xdr:row>
      <xdr:rowOff>384449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C8241-BCD5-4A67-8516-E2A546DBDA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2" t="17103" r="2817" b="16418"/>
        <a:stretch>
          <a:fillRect/>
        </a:stretch>
      </xdr:blipFill>
      <xdr:spPr>
        <a:xfrm>
          <a:off x="10584180" y="213360"/>
          <a:ext cx="1211580" cy="3692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838200</xdr:colOff>
      <xdr:row>1</xdr:row>
      <xdr:rowOff>22860</xdr:rowOff>
    </xdr:from>
    <xdr:to>
      <xdr:col>12</xdr:col>
      <xdr:colOff>960120</xdr:colOff>
      <xdr:row>1</xdr:row>
      <xdr:rowOff>392069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425B80-A4F5-491F-AE62-5A068E178B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2" t="17103" r="2817" b="16418"/>
        <a:stretch>
          <a:fillRect/>
        </a:stretch>
      </xdr:blipFill>
      <xdr:spPr>
        <a:xfrm>
          <a:off x="11399520" y="198120"/>
          <a:ext cx="1211580" cy="3692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883920</xdr:colOff>
      <xdr:row>1</xdr:row>
      <xdr:rowOff>22860</xdr:rowOff>
    </xdr:from>
    <xdr:to>
      <xdr:col>12</xdr:col>
      <xdr:colOff>960120</xdr:colOff>
      <xdr:row>1</xdr:row>
      <xdr:rowOff>392069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C544FE-39A7-495E-BDAD-07B6F8D657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2" t="17103" r="2817" b="16418"/>
        <a:stretch>
          <a:fillRect/>
        </a:stretch>
      </xdr:blipFill>
      <xdr:spPr>
        <a:xfrm>
          <a:off x="11071860" y="220980"/>
          <a:ext cx="1211580" cy="3692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784860</xdr:colOff>
      <xdr:row>1</xdr:row>
      <xdr:rowOff>30480</xdr:rowOff>
    </xdr:from>
    <xdr:to>
      <xdr:col>12</xdr:col>
      <xdr:colOff>917787</xdr:colOff>
      <xdr:row>1</xdr:row>
      <xdr:rowOff>399689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792ACA-F4F5-48B1-B979-F673690B2F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2" t="17103" r="2817" b="16418"/>
        <a:stretch>
          <a:fillRect/>
        </a:stretch>
      </xdr:blipFill>
      <xdr:spPr>
        <a:xfrm>
          <a:off x="11170920" y="228600"/>
          <a:ext cx="1211580" cy="3692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845820</xdr:colOff>
      <xdr:row>1</xdr:row>
      <xdr:rowOff>22860</xdr:rowOff>
    </xdr:from>
    <xdr:to>
      <xdr:col>12</xdr:col>
      <xdr:colOff>967740</xdr:colOff>
      <xdr:row>1</xdr:row>
      <xdr:rowOff>392069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1D64FD-68F5-4A7E-B0C8-CED8CEDE11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2" t="17103" r="2817" b="16418"/>
        <a:stretch>
          <a:fillRect/>
        </a:stretch>
      </xdr:blipFill>
      <xdr:spPr>
        <a:xfrm>
          <a:off x="11673840" y="198120"/>
          <a:ext cx="1211580" cy="36920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hn.ezugworie3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F705-C42B-44CC-B60C-77E6A487A637}">
  <dimension ref="A4:U22"/>
  <sheetViews>
    <sheetView showGridLines="0" workbookViewId="0">
      <selection activeCell="T13" sqref="T13"/>
    </sheetView>
  </sheetViews>
  <sheetFormatPr defaultColWidth="0" defaultRowHeight="15.6" x14ac:dyDescent="0.3"/>
  <cols>
    <col min="1" max="1" width="3.33203125" style="1" customWidth="1"/>
    <col min="2" max="2" width="3.44140625" style="1" customWidth="1"/>
    <col min="3" max="3" width="3.33203125" style="1" customWidth="1"/>
    <col min="4" max="21" width="8.88671875" style="1" customWidth="1"/>
    <col min="22" max="16384" width="8.88671875" style="1" hidden="1"/>
  </cols>
  <sheetData>
    <row r="4" spans="6:7" ht="43.8" x14ac:dyDescent="1.05">
      <c r="F4" s="60" t="str">
        <f>CompanyName</f>
        <v>Cronyx Mining Ltd</v>
      </c>
    </row>
    <row r="5" spans="6:7" x14ac:dyDescent="0.3">
      <c r="G5" s="1" t="s">
        <v>187</v>
      </c>
    </row>
    <row r="20" spans="7:10" x14ac:dyDescent="0.3">
      <c r="G20" s="61" t="s">
        <v>188</v>
      </c>
      <c r="J20" s="1" t="s">
        <v>205</v>
      </c>
    </row>
    <row r="21" spans="7:10" x14ac:dyDescent="0.3">
      <c r="G21" s="61" t="s">
        <v>189</v>
      </c>
      <c r="J21" s="68" t="s">
        <v>207</v>
      </c>
    </row>
    <row r="22" spans="7:10" x14ac:dyDescent="0.3">
      <c r="G22" s="61" t="s">
        <v>190</v>
      </c>
      <c r="J22" s="1" t="s">
        <v>179</v>
      </c>
    </row>
  </sheetData>
  <hyperlinks>
    <hyperlink ref="J21" r:id="rId1" xr:uid="{E0F896F3-4720-48FA-BFF6-AFBBBCA6F2D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K997"/>
  <sheetViews>
    <sheetView showGridLines="0" workbookViewId="0">
      <selection activeCell="B4" sqref="B4"/>
    </sheetView>
  </sheetViews>
  <sheetFormatPr defaultColWidth="14.44140625" defaultRowHeight="15" customHeight="1" x14ac:dyDescent="0.3"/>
  <cols>
    <col min="1" max="1" width="3.6640625" style="1" customWidth="1"/>
    <col min="2" max="2" width="3.5546875" style="1" customWidth="1"/>
    <col min="3" max="3" width="3.109375" style="1" customWidth="1"/>
    <col min="4" max="4" width="45.44140625" style="1" customWidth="1"/>
    <col min="5" max="5" width="30" style="1" customWidth="1"/>
    <col min="6" max="16384" width="14.44140625" style="1"/>
  </cols>
  <sheetData>
    <row r="1" spans="2:11" ht="15.6" x14ac:dyDescent="0.3"/>
    <row r="2" spans="2:11" ht="31.2" x14ac:dyDescent="0.6">
      <c r="B2" s="69" t="str">
        <f>CompanyName</f>
        <v>Cronyx Mining Ltd</v>
      </c>
      <c r="C2" s="25"/>
      <c r="D2" s="25"/>
      <c r="E2" s="25"/>
      <c r="F2" s="25"/>
      <c r="G2" s="25"/>
      <c r="H2" s="25"/>
      <c r="I2" s="25"/>
      <c r="J2" s="25"/>
      <c r="K2" s="25"/>
    </row>
    <row r="3" spans="2:11" ht="15.6" x14ac:dyDescent="0.3"/>
    <row r="4" spans="2:11" ht="15" customHeight="1" x14ac:dyDescent="0.35">
      <c r="B4" s="28" t="s">
        <v>0</v>
      </c>
    </row>
    <row r="5" spans="2:11" ht="15.6" x14ac:dyDescent="0.3"/>
    <row r="6" spans="2:11" ht="15.6" x14ac:dyDescent="0.3"/>
    <row r="7" spans="2:11" ht="16.2" thickBot="1" x14ac:dyDescent="0.35">
      <c r="B7" s="62" t="s">
        <v>8</v>
      </c>
      <c r="C7" s="24"/>
      <c r="D7" s="24"/>
      <c r="E7" s="24"/>
      <c r="F7" s="24"/>
      <c r="G7" s="24"/>
      <c r="H7" s="24"/>
      <c r="I7" s="24"/>
      <c r="J7" s="24"/>
      <c r="K7" s="24"/>
    </row>
    <row r="8" spans="2:11" ht="16.2" thickTop="1" x14ac:dyDescent="0.3">
      <c r="C8" s="35" t="s">
        <v>10</v>
      </c>
    </row>
    <row r="9" spans="2:11" ht="16.2" thickBot="1" x14ac:dyDescent="0.35">
      <c r="C9" s="27" t="s">
        <v>11</v>
      </c>
      <c r="D9" s="27"/>
      <c r="E9" s="27"/>
      <c r="F9" s="27"/>
      <c r="G9" s="27"/>
      <c r="H9" s="27"/>
      <c r="I9" s="27"/>
      <c r="J9" s="27"/>
      <c r="K9" s="27"/>
    </row>
    <row r="10" spans="2:11" ht="16.2" thickTop="1" x14ac:dyDescent="0.3">
      <c r="D10" s="1" t="s">
        <v>13</v>
      </c>
      <c r="E10" s="63" t="s">
        <v>206</v>
      </c>
    </row>
    <row r="11" spans="2:11" ht="15.6" x14ac:dyDescent="0.3">
      <c r="D11" s="1" t="s">
        <v>14</v>
      </c>
      <c r="E11" s="63" t="s">
        <v>15</v>
      </c>
    </row>
    <row r="12" spans="2:11" ht="15.6" x14ac:dyDescent="0.3">
      <c r="D12" s="1" t="s">
        <v>16</v>
      </c>
      <c r="E12" s="63" t="s">
        <v>17</v>
      </c>
    </row>
    <row r="13" spans="2:11" ht="15.6" x14ac:dyDescent="0.3">
      <c r="D13" s="1" t="s">
        <v>20</v>
      </c>
      <c r="E13" s="63" t="s">
        <v>179</v>
      </c>
    </row>
    <row r="14" spans="2:11" ht="15.6" x14ac:dyDescent="0.3"/>
    <row r="15" spans="2:11" ht="15.6" x14ac:dyDescent="0.3"/>
    <row r="16" spans="2:11" ht="16.2" thickBot="1" x14ac:dyDescent="0.35">
      <c r="C16" s="27" t="s">
        <v>21</v>
      </c>
      <c r="D16" s="27"/>
      <c r="E16" s="27"/>
      <c r="F16" s="27"/>
      <c r="G16" s="27"/>
      <c r="H16" s="27"/>
      <c r="I16" s="27"/>
      <c r="J16" s="27"/>
      <c r="K16" s="27"/>
    </row>
    <row r="17" spans="2:11" ht="16.2" thickTop="1" x14ac:dyDescent="0.3">
      <c r="D17" s="1" t="s">
        <v>23</v>
      </c>
      <c r="E17" s="63" t="str">
        <f>CompanyName</f>
        <v>Cronyx Mining Ltd</v>
      </c>
    </row>
    <row r="18" spans="2:11" ht="15.6" x14ac:dyDescent="0.3">
      <c r="D18" s="1" t="s">
        <v>25</v>
      </c>
    </row>
    <row r="19" spans="2:11" ht="15.6" x14ac:dyDescent="0.3">
      <c r="D19" s="1" t="s">
        <v>28</v>
      </c>
    </row>
    <row r="20" spans="2:11" ht="15.6" x14ac:dyDescent="0.3">
      <c r="D20" s="1" t="s">
        <v>29</v>
      </c>
      <c r="E20" s="1" t="str">
        <f>_xlfn.UNICHAR(8358)</f>
        <v>₦</v>
      </c>
    </row>
    <row r="21" spans="2:11" ht="15.6" x14ac:dyDescent="0.3"/>
    <row r="22" spans="2:11" ht="15.6" x14ac:dyDescent="0.3">
      <c r="D22" s="1" t="s">
        <v>32</v>
      </c>
      <c r="E22" s="1" t="s">
        <v>33</v>
      </c>
    </row>
    <row r="23" spans="2:11" ht="15.6" x14ac:dyDescent="0.3">
      <c r="D23" s="1" t="s">
        <v>35</v>
      </c>
    </row>
    <row r="24" spans="2:11" ht="15.6" x14ac:dyDescent="0.3">
      <c r="D24" s="1" t="s">
        <v>38</v>
      </c>
      <c r="E24" s="63" t="s">
        <v>205</v>
      </c>
    </row>
    <row r="25" spans="2:11" ht="15.6" x14ac:dyDescent="0.3"/>
    <row r="26" spans="2:11" ht="15.6" x14ac:dyDescent="0.3"/>
    <row r="27" spans="2:11" ht="16.2" thickBot="1" x14ac:dyDescent="0.35">
      <c r="B27" s="24" t="s">
        <v>41</v>
      </c>
      <c r="C27" s="24"/>
      <c r="D27" s="24"/>
      <c r="E27" s="24"/>
      <c r="F27" s="24"/>
      <c r="G27" s="24"/>
      <c r="H27" s="24"/>
      <c r="I27" s="24"/>
      <c r="J27" s="24"/>
      <c r="K27" s="24"/>
    </row>
    <row r="28" spans="2:11" ht="16.2" thickTop="1" x14ac:dyDescent="0.3">
      <c r="C28" s="35" t="s">
        <v>42</v>
      </c>
    </row>
    <row r="29" spans="2:11" ht="16.2" thickBot="1" x14ac:dyDescent="0.35">
      <c r="C29" s="27" t="s">
        <v>45</v>
      </c>
      <c r="D29" s="27"/>
      <c r="E29" s="27"/>
      <c r="F29" s="27"/>
      <c r="G29" s="27"/>
      <c r="H29" s="27"/>
      <c r="I29" s="27"/>
      <c r="J29" s="27"/>
      <c r="K29" s="27"/>
    </row>
    <row r="30" spans="2:11" ht="16.2" thickTop="1" x14ac:dyDescent="0.3">
      <c r="D30" s="1" t="s">
        <v>47</v>
      </c>
      <c r="E30" s="64">
        <v>46023</v>
      </c>
    </row>
    <row r="31" spans="2:11" ht="15.6" x14ac:dyDescent="0.3">
      <c r="D31" s="1" t="s">
        <v>50</v>
      </c>
      <c r="E31" s="63">
        <v>4</v>
      </c>
    </row>
    <row r="32" spans="2:11" ht="15.6" x14ac:dyDescent="0.3">
      <c r="D32" s="1" t="s">
        <v>52</v>
      </c>
      <c r="E32" s="63">
        <v>12</v>
      </c>
    </row>
    <row r="33" spans="3:11" ht="15.6" x14ac:dyDescent="0.3">
      <c r="D33" s="1" t="s">
        <v>55</v>
      </c>
      <c r="E33" s="63">
        <v>4</v>
      </c>
    </row>
    <row r="34" spans="3:11" ht="15.6" x14ac:dyDescent="0.3">
      <c r="D34" s="1" t="s">
        <v>56</v>
      </c>
      <c r="E34" s="63">
        <v>52</v>
      </c>
    </row>
    <row r="35" spans="3:11" ht="15.6" x14ac:dyDescent="0.3">
      <c r="D35" s="1" t="s">
        <v>58</v>
      </c>
      <c r="E35" s="63">
        <v>365</v>
      </c>
    </row>
    <row r="36" spans="3:11" ht="15.6" x14ac:dyDescent="0.3">
      <c r="D36" s="1" t="s">
        <v>61</v>
      </c>
      <c r="E36" s="63">
        <v>7</v>
      </c>
    </row>
    <row r="37" spans="3:11" ht="15.6" x14ac:dyDescent="0.3">
      <c r="D37" s="1" t="s">
        <v>62</v>
      </c>
      <c r="E37" s="63">
        <f>E34*E36</f>
        <v>364</v>
      </c>
    </row>
    <row r="38" spans="3:11" ht="15.6" x14ac:dyDescent="0.3">
      <c r="D38" s="1" t="s">
        <v>63</v>
      </c>
      <c r="E38">
        <f>YEAR(E30)</f>
        <v>2026</v>
      </c>
    </row>
    <row r="39" spans="3:11" ht="15.6" x14ac:dyDescent="0.3">
      <c r="D39" s="1" t="s">
        <v>65</v>
      </c>
      <c r="E39">
        <f>E38+E31-1</f>
        <v>2029</v>
      </c>
    </row>
    <row r="40" spans="3:11" ht="15.6" x14ac:dyDescent="0.3"/>
    <row r="41" spans="3:11" ht="16.2" thickBot="1" x14ac:dyDescent="0.35">
      <c r="C41" s="27" t="s">
        <v>182</v>
      </c>
      <c r="D41" s="27"/>
      <c r="E41" s="27"/>
      <c r="F41" s="27"/>
      <c r="G41" s="27"/>
      <c r="H41" s="27"/>
      <c r="I41" s="27"/>
      <c r="J41" s="27"/>
      <c r="K41" s="27"/>
    </row>
    <row r="42" spans="3:11" ht="16.2" thickTop="1" x14ac:dyDescent="0.3">
      <c r="D42" s="1" t="s">
        <v>183</v>
      </c>
    </row>
    <row r="43" spans="3:11" ht="15.6" x14ac:dyDescent="0.3">
      <c r="D43" s="1" t="s">
        <v>184</v>
      </c>
    </row>
    <row r="44" spans="3:11" ht="15.6" x14ac:dyDescent="0.3">
      <c r="D44" s="1" t="s">
        <v>1</v>
      </c>
    </row>
    <row r="45" spans="3:11" ht="15.6" x14ac:dyDescent="0.3">
      <c r="D45" s="1" t="s">
        <v>131</v>
      </c>
    </row>
    <row r="46" spans="3:11" ht="15.6" x14ac:dyDescent="0.3">
      <c r="D46" s="1" t="s">
        <v>147</v>
      </c>
    </row>
    <row r="47" spans="3:11" ht="15.6" x14ac:dyDescent="0.3">
      <c r="D47" s="1" t="s">
        <v>185</v>
      </c>
    </row>
    <row r="48" spans="3:11" ht="15.6" x14ac:dyDescent="0.3"/>
    <row r="49" spans="2:11" ht="15.6" x14ac:dyDescent="0.3"/>
    <row r="50" spans="2:11" ht="16.2" thickBot="1" x14ac:dyDescent="0.35">
      <c r="B50" s="24" t="s">
        <v>191</v>
      </c>
      <c r="C50" s="24"/>
      <c r="D50" s="24"/>
      <c r="E50" s="24"/>
      <c r="F50" s="24"/>
      <c r="G50" s="24"/>
      <c r="H50" s="24"/>
      <c r="I50" s="24"/>
      <c r="J50" s="24"/>
      <c r="K50" s="24"/>
    </row>
    <row r="51" spans="2:11" ht="16.2" thickTop="1" x14ac:dyDescent="0.3">
      <c r="C51" s="35" t="s">
        <v>192</v>
      </c>
    </row>
    <row r="52" spans="2:11" ht="16.2" thickBot="1" x14ac:dyDescent="0.35">
      <c r="C52" s="27" t="s">
        <v>193</v>
      </c>
      <c r="D52" s="27"/>
      <c r="E52" s="27"/>
      <c r="F52" s="27"/>
      <c r="G52" s="27"/>
      <c r="H52" s="27"/>
      <c r="I52" s="27"/>
      <c r="J52" s="27"/>
      <c r="K52" s="27"/>
    </row>
    <row r="53" spans="2:11" ht="16.2" thickTop="1" x14ac:dyDescent="0.3">
      <c r="D53" s="65" t="s">
        <v>194</v>
      </c>
      <c r="E53" s="65" t="s">
        <v>195</v>
      </c>
    </row>
    <row r="54" spans="2:11" ht="15.6" x14ac:dyDescent="0.3">
      <c r="D54" s="1" t="s">
        <v>95</v>
      </c>
      <c r="E54" s="1" t="s">
        <v>200</v>
      </c>
    </row>
    <row r="55" spans="2:11" ht="15.6" x14ac:dyDescent="0.3">
      <c r="D55" s="1" t="s">
        <v>196</v>
      </c>
      <c r="E55" s="1" t="s">
        <v>131</v>
      </c>
    </row>
    <row r="56" spans="2:11" ht="15.6" x14ac:dyDescent="0.3">
      <c r="D56" s="1" t="s">
        <v>197</v>
      </c>
      <c r="E56" s="1" t="s">
        <v>147</v>
      </c>
    </row>
    <row r="57" spans="2:11" ht="15.6" x14ac:dyDescent="0.3">
      <c r="D57" s="1" t="s">
        <v>198</v>
      </c>
      <c r="E57" s="1" t="s">
        <v>185</v>
      </c>
    </row>
    <row r="58" spans="2:11" ht="15.6" x14ac:dyDescent="0.3">
      <c r="D58" s="1" t="s">
        <v>135</v>
      </c>
      <c r="E58" s="1" t="s">
        <v>201</v>
      </c>
    </row>
    <row r="59" spans="2:11" ht="15.6" x14ac:dyDescent="0.3">
      <c r="D59" s="1" t="s">
        <v>137</v>
      </c>
      <c r="E59" s="1" t="s">
        <v>202</v>
      </c>
    </row>
    <row r="60" spans="2:11" ht="15.6" x14ac:dyDescent="0.3">
      <c r="D60" s="1" t="s">
        <v>140</v>
      </c>
      <c r="E60" s="1" t="s">
        <v>203</v>
      </c>
    </row>
    <row r="61" spans="2:11" ht="15.6" x14ac:dyDescent="0.3">
      <c r="D61" s="1" t="s">
        <v>199</v>
      </c>
      <c r="E61" s="1" t="s">
        <v>204</v>
      </c>
    </row>
    <row r="62" spans="2:11" ht="15.6" x14ac:dyDescent="0.3"/>
    <row r="63" spans="2:11" ht="15.6" x14ac:dyDescent="0.3"/>
    <row r="64" spans="2:11" ht="15.6" x14ac:dyDescent="0.3"/>
    <row r="65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2" ht="15.6" x14ac:dyDescent="0.3"/>
    <row r="73" ht="15.6" x14ac:dyDescent="0.3"/>
    <row r="74" ht="15.6" x14ac:dyDescent="0.3"/>
    <row r="75" ht="15.6" x14ac:dyDescent="0.3"/>
    <row r="76" ht="15.6" x14ac:dyDescent="0.3"/>
    <row r="77" ht="15.6" x14ac:dyDescent="0.3"/>
    <row r="78" ht="15.6" x14ac:dyDescent="0.3"/>
    <row r="79" ht="15.6" x14ac:dyDescent="0.3"/>
    <row r="80" ht="15.6" x14ac:dyDescent="0.3"/>
    <row r="81" ht="15.6" x14ac:dyDescent="0.3"/>
    <row r="82" ht="15.6" x14ac:dyDescent="0.3"/>
    <row r="83" ht="15.6" x14ac:dyDescent="0.3"/>
    <row r="84" ht="15.6" x14ac:dyDescent="0.3"/>
    <row r="85" ht="15.6" x14ac:dyDescent="0.3"/>
    <row r="86" ht="15.6" x14ac:dyDescent="0.3"/>
    <row r="87" ht="15.6" x14ac:dyDescent="0.3"/>
    <row r="88" ht="15.6" x14ac:dyDescent="0.3"/>
    <row r="89" ht="15.6" x14ac:dyDescent="0.3"/>
    <row r="90" ht="15.6" x14ac:dyDescent="0.3"/>
    <row r="91" ht="15.6" x14ac:dyDescent="0.3"/>
    <row r="92" ht="15.6" x14ac:dyDescent="0.3"/>
    <row r="93" ht="15.6" x14ac:dyDescent="0.3"/>
    <row r="94" ht="15.6" x14ac:dyDescent="0.3"/>
    <row r="95" ht="15.6" x14ac:dyDescent="0.3"/>
    <row r="96" ht="15.6" x14ac:dyDescent="0.3"/>
    <row r="97" ht="15.6" x14ac:dyDescent="0.3"/>
    <row r="98" ht="15.6" x14ac:dyDescent="0.3"/>
    <row r="99" ht="15.6" x14ac:dyDescent="0.3"/>
    <row r="100" ht="15.6" x14ac:dyDescent="0.3"/>
    <row r="101" ht="15.6" x14ac:dyDescent="0.3"/>
    <row r="102" ht="15.6" x14ac:dyDescent="0.3"/>
    <row r="103" ht="15.6" x14ac:dyDescent="0.3"/>
    <row r="104" ht="15.6" x14ac:dyDescent="0.3"/>
    <row r="105" ht="15.6" x14ac:dyDescent="0.3"/>
    <row r="106" ht="15.6" x14ac:dyDescent="0.3"/>
    <row r="107" ht="15.6" x14ac:dyDescent="0.3"/>
    <row r="108" ht="15.6" x14ac:dyDescent="0.3"/>
    <row r="109" ht="15.6" x14ac:dyDescent="0.3"/>
    <row r="110" ht="15.6" x14ac:dyDescent="0.3"/>
    <row r="111" ht="15.6" x14ac:dyDescent="0.3"/>
    <row r="112" ht="15.6" x14ac:dyDescent="0.3"/>
    <row r="113" ht="15.6" x14ac:dyDescent="0.3"/>
    <row r="114" ht="15.6" x14ac:dyDescent="0.3"/>
    <row r="115" ht="15.6" x14ac:dyDescent="0.3"/>
    <row r="116" ht="15.6" x14ac:dyDescent="0.3"/>
    <row r="117" ht="15.6" x14ac:dyDescent="0.3"/>
    <row r="118" ht="15.6" x14ac:dyDescent="0.3"/>
    <row r="119" ht="15.6" x14ac:dyDescent="0.3"/>
    <row r="120" ht="15.6" x14ac:dyDescent="0.3"/>
    <row r="121" ht="15.6" x14ac:dyDescent="0.3"/>
    <row r="122" ht="15.6" x14ac:dyDescent="0.3"/>
    <row r="123" ht="15.6" x14ac:dyDescent="0.3"/>
    <row r="124" ht="15.6" x14ac:dyDescent="0.3"/>
    <row r="125" ht="15.6" x14ac:dyDescent="0.3"/>
    <row r="126" ht="15.6" x14ac:dyDescent="0.3"/>
    <row r="127" ht="15.6" x14ac:dyDescent="0.3"/>
    <row r="128" ht="15.6" x14ac:dyDescent="0.3"/>
    <row r="129" ht="15.6" x14ac:dyDescent="0.3"/>
    <row r="130" ht="15.6" x14ac:dyDescent="0.3"/>
    <row r="131" ht="15.6" x14ac:dyDescent="0.3"/>
    <row r="132" ht="15.6" x14ac:dyDescent="0.3"/>
    <row r="133" ht="15.6" x14ac:dyDescent="0.3"/>
    <row r="134" ht="15.6" x14ac:dyDescent="0.3"/>
    <row r="135" ht="15.6" x14ac:dyDescent="0.3"/>
    <row r="136" ht="15.6" x14ac:dyDescent="0.3"/>
    <row r="137" ht="15.6" x14ac:dyDescent="0.3"/>
    <row r="138" ht="15.6" x14ac:dyDescent="0.3"/>
    <row r="139" ht="15.6" x14ac:dyDescent="0.3"/>
    <row r="140" ht="15.6" x14ac:dyDescent="0.3"/>
    <row r="141" ht="15.6" x14ac:dyDescent="0.3"/>
    <row r="142" ht="15.6" x14ac:dyDescent="0.3"/>
    <row r="143" ht="15.6" x14ac:dyDescent="0.3"/>
    <row r="144" ht="15.6" x14ac:dyDescent="0.3"/>
    <row r="145" ht="15.6" x14ac:dyDescent="0.3"/>
    <row r="146" ht="15.6" x14ac:dyDescent="0.3"/>
    <row r="147" ht="15.6" x14ac:dyDescent="0.3"/>
    <row r="148" ht="15.6" x14ac:dyDescent="0.3"/>
    <row r="149" ht="15.6" x14ac:dyDescent="0.3"/>
    <row r="150" ht="15.6" x14ac:dyDescent="0.3"/>
    <row r="151" ht="15.6" x14ac:dyDescent="0.3"/>
    <row r="152" ht="15.6" x14ac:dyDescent="0.3"/>
    <row r="153" ht="15.6" x14ac:dyDescent="0.3"/>
    <row r="154" ht="15.6" x14ac:dyDescent="0.3"/>
    <row r="155" ht="15.6" x14ac:dyDescent="0.3"/>
    <row r="156" ht="15.6" x14ac:dyDescent="0.3"/>
    <row r="157" ht="15.6" x14ac:dyDescent="0.3"/>
    <row r="158" ht="15.6" x14ac:dyDescent="0.3"/>
    <row r="159" ht="15.6" x14ac:dyDescent="0.3"/>
    <row r="160" ht="15.6" x14ac:dyDescent="0.3"/>
    <row r="161" ht="15.6" x14ac:dyDescent="0.3"/>
    <row r="162" ht="15.6" x14ac:dyDescent="0.3"/>
    <row r="163" ht="15.6" x14ac:dyDescent="0.3"/>
    <row r="164" ht="15.6" x14ac:dyDescent="0.3"/>
    <row r="165" ht="15.6" x14ac:dyDescent="0.3"/>
    <row r="166" ht="15.6" x14ac:dyDescent="0.3"/>
    <row r="167" ht="15.6" x14ac:dyDescent="0.3"/>
    <row r="168" ht="15.6" x14ac:dyDescent="0.3"/>
    <row r="169" ht="15.6" x14ac:dyDescent="0.3"/>
    <row r="170" ht="15.6" x14ac:dyDescent="0.3"/>
    <row r="171" ht="15.6" x14ac:dyDescent="0.3"/>
    <row r="172" ht="15.6" x14ac:dyDescent="0.3"/>
    <row r="173" ht="15.6" x14ac:dyDescent="0.3"/>
    <row r="174" ht="15.6" x14ac:dyDescent="0.3"/>
    <row r="175" ht="15.6" x14ac:dyDescent="0.3"/>
    <row r="176" ht="15.6" x14ac:dyDescent="0.3"/>
    <row r="177" ht="15.6" x14ac:dyDescent="0.3"/>
    <row r="178" ht="15.6" x14ac:dyDescent="0.3"/>
    <row r="179" ht="15.6" x14ac:dyDescent="0.3"/>
    <row r="180" ht="15.6" x14ac:dyDescent="0.3"/>
    <row r="181" ht="15.6" x14ac:dyDescent="0.3"/>
    <row r="182" ht="15.6" x14ac:dyDescent="0.3"/>
    <row r="183" ht="15.6" x14ac:dyDescent="0.3"/>
    <row r="184" ht="15.6" x14ac:dyDescent="0.3"/>
    <row r="185" ht="15.6" x14ac:dyDescent="0.3"/>
    <row r="186" ht="15.6" x14ac:dyDescent="0.3"/>
    <row r="187" ht="15.6" x14ac:dyDescent="0.3"/>
    <row r="188" ht="15.6" x14ac:dyDescent="0.3"/>
    <row r="189" ht="15.6" x14ac:dyDescent="0.3"/>
    <row r="190" ht="15.6" x14ac:dyDescent="0.3"/>
    <row r="191" ht="15.6" x14ac:dyDescent="0.3"/>
    <row r="192" ht="15.6" x14ac:dyDescent="0.3"/>
    <row r="193" ht="15.6" x14ac:dyDescent="0.3"/>
    <row r="194" ht="15.6" x14ac:dyDescent="0.3"/>
    <row r="195" ht="15.6" x14ac:dyDescent="0.3"/>
    <row r="196" ht="15.6" x14ac:dyDescent="0.3"/>
    <row r="197" ht="15.6" x14ac:dyDescent="0.3"/>
    <row r="198" ht="15.6" x14ac:dyDescent="0.3"/>
    <row r="199" ht="15.6" x14ac:dyDescent="0.3"/>
    <row r="200" ht="15.6" x14ac:dyDescent="0.3"/>
    <row r="201" ht="15.6" x14ac:dyDescent="0.3"/>
    <row r="202" ht="15.6" x14ac:dyDescent="0.3"/>
    <row r="203" ht="15.6" x14ac:dyDescent="0.3"/>
    <row r="204" ht="15.6" x14ac:dyDescent="0.3"/>
    <row r="205" ht="15.6" x14ac:dyDescent="0.3"/>
    <row r="206" ht="15.6" x14ac:dyDescent="0.3"/>
    <row r="207" ht="15.6" x14ac:dyDescent="0.3"/>
    <row r="208" ht="15.6" x14ac:dyDescent="0.3"/>
    <row r="209" ht="15.6" x14ac:dyDescent="0.3"/>
    <row r="210" ht="15.6" x14ac:dyDescent="0.3"/>
    <row r="211" ht="15.6" x14ac:dyDescent="0.3"/>
    <row r="212" ht="15.6" x14ac:dyDescent="0.3"/>
    <row r="213" ht="15.6" x14ac:dyDescent="0.3"/>
    <row r="214" ht="15.6" x14ac:dyDescent="0.3"/>
    <row r="215" ht="15.6" x14ac:dyDescent="0.3"/>
    <row r="216" ht="15.6" x14ac:dyDescent="0.3"/>
    <row r="217" ht="15.6" x14ac:dyDescent="0.3"/>
    <row r="218" ht="15.6" x14ac:dyDescent="0.3"/>
    <row r="219" ht="15.6" x14ac:dyDescent="0.3"/>
    <row r="220" ht="15.6" x14ac:dyDescent="0.3"/>
    <row r="221" ht="15.6" x14ac:dyDescent="0.3"/>
    <row r="222" ht="15.6" x14ac:dyDescent="0.3"/>
    <row r="223" ht="15.6" x14ac:dyDescent="0.3"/>
    <row r="224" ht="15.6" x14ac:dyDescent="0.3"/>
    <row r="225" ht="15.6" x14ac:dyDescent="0.3"/>
    <row r="226" ht="15.6" x14ac:dyDescent="0.3"/>
    <row r="227" ht="15.6" x14ac:dyDescent="0.3"/>
    <row r="228" ht="15.6" x14ac:dyDescent="0.3"/>
    <row r="229" ht="15.6" x14ac:dyDescent="0.3"/>
    <row r="230" ht="15.6" x14ac:dyDescent="0.3"/>
    <row r="231" ht="15.6" x14ac:dyDescent="0.3"/>
    <row r="232" ht="15.6" x14ac:dyDescent="0.3"/>
    <row r="233" ht="15.6" x14ac:dyDescent="0.3"/>
    <row r="234" ht="15.6" x14ac:dyDescent="0.3"/>
    <row r="235" ht="15.6" x14ac:dyDescent="0.3"/>
    <row r="236" ht="15.6" x14ac:dyDescent="0.3"/>
    <row r="237" ht="15.6" x14ac:dyDescent="0.3"/>
    <row r="238" ht="15.6" x14ac:dyDescent="0.3"/>
    <row r="239" ht="15.6" x14ac:dyDescent="0.3"/>
    <row r="240" ht="15.6" x14ac:dyDescent="0.3"/>
    <row r="241" ht="15.6" x14ac:dyDescent="0.3"/>
    <row r="242" ht="15.6" x14ac:dyDescent="0.3"/>
    <row r="243" ht="15.6" x14ac:dyDescent="0.3"/>
    <row r="244" ht="15.6" x14ac:dyDescent="0.3"/>
    <row r="245" ht="15.6" x14ac:dyDescent="0.3"/>
    <row r="246" ht="15.6" x14ac:dyDescent="0.3"/>
    <row r="247" ht="15.6" x14ac:dyDescent="0.3"/>
    <row r="248" ht="15.6" x14ac:dyDescent="0.3"/>
    <row r="249" ht="15.6" x14ac:dyDescent="0.3"/>
    <row r="250" ht="15.6" x14ac:dyDescent="0.3"/>
    <row r="251" ht="15.6" x14ac:dyDescent="0.3"/>
    <row r="252" ht="15.6" x14ac:dyDescent="0.3"/>
    <row r="253" ht="15.6" x14ac:dyDescent="0.3"/>
    <row r="254" ht="15.6" x14ac:dyDescent="0.3"/>
    <row r="255" ht="15.6" x14ac:dyDescent="0.3"/>
    <row r="256" ht="15.6" x14ac:dyDescent="0.3"/>
    <row r="257" ht="15.6" x14ac:dyDescent="0.3"/>
    <row r="258" ht="15.6" x14ac:dyDescent="0.3"/>
    <row r="259" ht="15.6" x14ac:dyDescent="0.3"/>
    <row r="260" ht="15.6" x14ac:dyDescent="0.3"/>
    <row r="261" ht="15.6" x14ac:dyDescent="0.3"/>
    <row r="262" ht="15.6" x14ac:dyDescent="0.3"/>
    <row r="263" ht="15.6" x14ac:dyDescent="0.3"/>
    <row r="264" ht="15.6" x14ac:dyDescent="0.3"/>
    <row r="265" ht="15.6" x14ac:dyDescent="0.3"/>
    <row r="266" ht="15.6" x14ac:dyDescent="0.3"/>
    <row r="267" ht="15.6" x14ac:dyDescent="0.3"/>
    <row r="268" ht="15.6" x14ac:dyDescent="0.3"/>
    <row r="269" ht="15.6" x14ac:dyDescent="0.3"/>
    <row r="270" ht="15.6" x14ac:dyDescent="0.3"/>
    <row r="271" ht="15.6" x14ac:dyDescent="0.3"/>
    <row r="272" ht="15.6" x14ac:dyDescent="0.3"/>
    <row r="273" ht="15.6" x14ac:dyDescent="0.3"/>
    <row r="274" ht="15.6" x14ac:dyDescent="0.3"/>
    <row r="275" ht="15.6" x14ac:dyDescent="0.3"/>
    <row r="276" ht="15.6" x14ac:dyDescent="0.3"/>
    <row r="277" ht="15.6" x14ac:dyDescent="0.3"/>
    <row r="278" ht="15.6" x14ac:dyDescent="0.3"/>
    <row r="279" ht="15.6" x14ac:dyDescent="0.3"/>
    <row r="280" ht="15.6" x14ac:dyDescent="0.3"/>
    <row r="281" ht="15.6" x14ac:dyDescent="0.3"/>
    <row r="282" ht="15.6" x14ac:dyDescent="0.3"/>
    <row r="283" ht="15.6" x14ac:dyDescent="0.3"/>
    <row r="284" ht="15.6" x14ac:dyDescent="0.3"/>
    <row r="285" ht="15.6" x14ac:dyDescent="0.3"/>
    <row r="286" ht="15.6" x14ac:dyDescent="0.3"/>
    <row r="287" ht="15.6" x14ac:dyDescent="0.3"/>
    <row r="288" ht="15.6" x14ac:dyDescent="0.3"/>
    <row r="289" ht="15.6" x14ac:dyDescent="0.3"/>
    <row r="290" ht="15.6" x14ac:dyDescent="0.3"/>
    <row r="291" ht="15.6" x14ac:dyDescent="0.3"/>
    <row r="292" ht="15.6" x14ac:dyDescent="0.3"/>
    <row r="293" ht="15.6" x14ac:dyDescent="0.3"/>
    <row r="294" ht="15.6" x14ac:dyDescent="0.3"/>
    <row r="295" ht="15.6" x14ac:dyDescent="0.3"/>
    <row r="296" ht="15.6" x14ac:dyDescent="0.3"/>
    <row r="297" ht="15.6" x14ac:dyDescent="0.3"/>
    <row r="298" ht="15.6" x14ac:dyDescent="0.3"/>
    <row r="299" ht="15.6" x14ac:dyDescent="0.3"/>
    <row r="300" ht="15.6" x14ac:dyDescent="0.3"/>
    <row r="301" ht="15.6" x14ac:dyDescent="0.3"/>
    <row r="302" ht="15.6" x14ac:dyDescent="0.3"/>
    <row r="303" ht="15.6" x14ac:dyDescent="0.3"/>
    <row r="304" ht="15.6" x14ac:dyDescent="0.3"/>
    <row r="305" ht="15.6" x14ac:dyDescent="0.3"/>
    <row r="306" ht="15.6" x14ac:dyDescent="0.3"/>
    <row r="307" ht="15.6" x14ac:dyDescent="0.3"/>
    <row r="308" ht="15.6" x14ac:dyDescent="0.3"/>
    <row r="309" ht="15.6" x14ac:dyDescent="0.3"/>
    <row r="310" ht="15.6" x14ac:dyDescent="0.3"/>
    <row r="311" ht="15.6" x14ac:dyDescent="0.3"/>
    <row r="312" ht="15.6" x14ac:dyDescent="0.3"/>
    <row r="313" ht="15.6" x14ac:dyDescent="0.3"/>
    <row r="314" ht="15.6" x14ac:dyDescent="0.3"/>
    <row r="315" ht="15.6" x14ac:dyDescent="0.3"/>
    <row r="316" ht="15.6" x14ac:dyDescent="0.3"/>
    <row r="317" ht="15.6" x14ac:dyDescent="0.3"/>
    <row r="318" ht="15.6" x14ac:dyDescent="0.3"/>
    <row r="319" ht="15.6" x14ac:dyDescent="0.3"/>
    <row r="320" ht="15.6" x14ac:dyDescent="0.3"/>
    <row r="321" ht="15.6" x14ac:dyDescent="0.3"/>
    <row r="322" ht="15.6" x14ac:dyDescent="0.3"/>
    <row r="323" ht="15.6" x14ac:dyDescent="0.3"/>
    <row r="324" ht="15.6" x14ac:dyDescent="0.3"/>
    <row r="325" ht="15.6" x14ac:dyDescent="0.3"/>
    <row r="326" ht="15.6" x14ac:dyDescent="0.3"/>
    <row r="327" ht="15.6" x14ac:dyDescent="0.3"/>
    <row r="328" ht="15.6" x14ac:dyDescent="0.3"/>
    <row r="329" ht="15.6" x14ac:dyDescent="0.3"/>
    <row r="330" ht="15.6" x14ac:dyDescent="0.3"/>
    <row r="331" ht="15.6" x14ac:dyDescent="0.3"/>
    <row r="332" ht="15.6" x14ac:dyDescent="0.3"/>
    <row r="333" ht="15.6" x14ac:dyDescent="0.3"/>
    <row r="334" ht="15.6" x14ac:dyDescent="0.3"/>
    <row r="335" ht="15.6" x14ac:dyDescent="0.3"/>
    <row r="336" ht="15.6" x14ac:dyDescent="0.3"/>
    <row r="337" ht="15.6" x14ac:dyDescent="0.3"/>
    <row r="338" ht="15.6" x14ac:dyDescent="0.3"/>
    <row r="339" ht="15.6" x14ac:dyDescent="0.3"/>
    <row r="340" ht="15.6" x14ac:dyDescent="0.3"/>
    <row r="341" ht="15.6" x14ac:dyDescent="0.3"/>
    <row r="342" ht="15.6" x14ac:dyDescent="0.3"/>
    <row r="343" ht="15.6" x14ac:dyDescent="0.3"/>
    <row r="344" ht="15.6" x14ac:dyDescent="0.3"/>
    <row r="345" ht="15.6" x14ac:dyDescent="0.3"/>
    <row r="346" ht="15.6" x14ac:dyDescent="0.3"/>
    <row r="347" ht="15.6" x14ac:dyDescent="0.3"/>
    <row r="348" ht="15.6" x14ac:dyDescent="0.3"/>
    <row r="349" ht="15.6" x14ac:dyDescent="0.3"/>
    <row r="350" ht="15.6" x14ac:dyDescent="0.3"/>
    <row r="351" ht="15.6" x14ac:dyDescent="0.3"/>
    <row r="352" ht="15.6" x14ac:dyDescent="0.3"/>
    <row r="353" ht="15.6" x14ac:dyDescent="0.3"/>
    <row r="354" ht="15.6" x14ac:dyDescent="0.3"/>
    <row r="355" ht="15.6" x14ac:dyDescent="0.3"/>
    <row r="356" ht="15.6" x14ac:dyDescent="0.3"/>
    <row r="357" ht="15.6" x14ac:dyDescent="0.3"/>
    <row r="358" ht="15.6" x14ac:dyDescent="0.3"/>
    <row r="359" ht="15.6" x14ac:dyDescent="0.3"/>
    <row r="360" ht="15.6" x14ac:dyDescent="0.3"/>
    <row r="361" ht="15.6" x14ac:dyDescent="0.3"/>
    <row r="362" ht="15.6" x14ac:dyDescent="0.3"/>
    <row r="363" ht="15.6" x14ac:dyDescent="0.3"/>
    <row r="364" ht="15.6" x14ac:dyDescent="0.3"/>
    <row r="365" ht="15.6" x14ac:dyDescent="0.3"/>
    <row r="366" ht="15.6" x14ac:dyDescent="0.3"/>
    <row r="367" ht="15.6" x14ac:dyDescent="0.3"/>
    <row r="368" ht="15.6" x14ac:dyDescent="0.3"/>
    <row r="369" ht="15.6" x14ac:dyDescent="0.3"/>
    <row r="370" ht="15.6" x14ac:dyDescent="0.3"/>
    <row r="371" ht="15.6" x14ac:dyDescent="0.3"/>
    <row r="372" ht="15.6" x14ac:dyDescent="0.3"/>
    <row r="373" ht="15.6" x14ac:dyDescent="0.3"/>
    <row r="374" ht="15.6" x14ac:dyDescent="0.3"/>
    <row r="375" ht="15.6" x14ac:dyDescent="0.3"/>
    <row r="376" ht="15.6" x14ac:dyDescent="0.3"/>
    <row r="377" ht="15.6" x14ac:dyDescent="0.3"/>
    <row r="378" ht="15.6" x14ac:dyDescent="0.3"/>
    <row r="379" ht="15.6" x14ac:dyDescent="0.3"/>
    <row r="380" ht="15.6" x14ac:dyDescent="0.3"/>
    <row r="381" ht="15.6" x14ac:dyDescent="0.3"/>
    <row r="382" ht="15.6" x14ac:dyDescent="0.3"/>
    <row r="383" ht="15.6" x14ac:dyDescent="0.3"/>
    <row r="384" ht="15.6" x14ac:dyDescent="0.3"/>
    <row r="385" ht="15.6" x14ac:dyDescent="0.3"/>
    <row r="386" ht="15.6" x14ac:dyDescent="0.3"/>
    <row r="387" ht="15.6" x14ac:dyDescent="0.3"/>
    <row r="388" ht="15.6" x14ac:dyDescent="0.3"/>
    <row r="389" ht="15.6" x14ac:dyDescent="0.3"/>
    <row r="390" ht="15.6" x14ac:dyDescent="0.3"/>
    <row r="391" ht="15.6" x14ac:dyDescent="0.3"/>
    <row r="392" ht="15.6" x14ac:dyDescent="0.3"/>
    <row r="393" ht="15.6" x14ac:dyDescent="0.3"/>
    <row r="394" ht="15.6" x14ac:dyDescent="0.3"/>
    <row r="395" ht="15.6" x14ac:dyDescent="0.3"/>
    <row r="396" ht="15.6" x14ac:dyDescent="0.3"/>
    <row r="397" ht="15.6" x14ac:dyDescent="0.3"/>
    <row r="398" ht="15.6" x14ac:dyDescent="0.3"/>
    <row r="399" ht="15.6" x14ac:dyDescent="0.3"/>
    <row r="400" ht="15.6" x14ac:dyDescent="0.3"/>
    <row r="401" ht="15.6" x14ac:dyDescent="0.3"/>
    <row r="402" ht="15.6" x14ac:dyDescent="0.3"/>
    <row r="403" ht="15.6" x14ac:dyDescent="0.3"/>
    <row r="404" ht="15.6" x14ac:dyDescent="0.3"/>
    <row r="405" ht="15.6" x14ac:dyDescent="0.3"/>
    <row r="406" ht="15.6" x14ac:dyDescent="0.3"/>
    <row r="407" ht="15.6" x14ac:dyDescent="0.3"/>
    <row r="408" ht="15.6" x14ac:dyDescent="0.3"/>
    <row r="409" ht="15.6" x14ac:dyDescent="0.3"/>
    <row r="410" ht="15.6" x14ac:dyDescent="0.3"/>
    <row r="411" ht="15.6" x14ac:dyDescent="0.3"/>
    <row r="412" ht="15.6" x14ac:dyDescent="0.3"/>
    <row r="413" ht="15.6" x14ac:dyDescent="0.3"/>
    <row r="414" ht="15.6" x14ac:dyDescent="0.3"/>
    <row r="415" ht="15.6" x14ac:dyDescent="0.3"/>
    <row r="416" ht="15.6" x14ac:dyDescent="0.3"/>
    <row r="417" ht="15.6" x14ac:dyDescent="0.3"/>
    <row r="418" ht="15.6" x14ac:dyDescent="0.3"/>
    <row r="419" ht="15.6" x14ac:dyDescent="0.3"/>
    <row r="420" ht="15.6" x14ac:dyDescent="0.3"/>
    <row r="421" ht="15.6" x14ac:dyDescent="0.3"/>
    <row r="422" ht="15.6" x14ac:dyDescent="0.3"/>
    <row r="423" ht="15.6" x14ac:dyDescent="0.3"/>
    <row r="424" ht="15.6" x14ac:dyDescent="0.3"/>
    <row r="425" ht="15.6" x14ac:dyDescent="0.3"/>
    <row r="426" ht="15.6" x14ac:dyDescent="0.3"/>
    <row r="427" ht="15.6" x14ac:dyDescent="0.3"/>
    <row r="428" ht="15.6" x14ac:dyDescent="0.3"/>
    <row r="429" ht="15.6" x14ac:dyDescent="0.3"/>
    <row r="430" ht="15.6" x14ac:dyDescent="0.3"/>
    <row r="431" ht="15.6" x14ac:dyDescent="0.3"/>
    <row r="432" ht="15.6" x14ac:dyDescent="0.3"/>
    <row r="433" ht="15.6" x14ac:dyDescent="0.3"/>
    <row r="434" ht="15.6" x14ac:dyDescent="0.3"/>
    <row r="435" ht="15.6" x14ac:dyDescent="0.3"/>
    <row r="436" ht="15.6" x14ac:dyDescent="0.3"/>
    <row r="437" ht="15.6" x14ac:dyDescent="0.3"/>
    <row r="438" ht="15.6" x14ac:dyDescent="0.3"/>
    <row r="439" ht="15.6" x14ac:dyDescent="0.3"/>
    <row r="440" ht="15.6" x14ac:dyDescent="0.3"/>
    <row r="441" ht="15.6" x14ac:dyDescent="0.3"/>
    <row r="442" ht="15.6" x14ac:dyDescent="0.3"/>
    <row r="443" ht="15.6" x14ac:dyDescent="0.3"/>
    <row r="444" ht="15.6" x14ac:dyDescent="0.3"/>
    <row r="445" ht="15.6" x14ac:dyDescent="0.3"/>
    <row r="446" ht="15.6" x14ac:dyDescent="0.3"/>
    <row r="447" ht="15.6" x14ac:dyDescent="0.3"/>
    <row r="448" ht="15.6" x14ac:dyDescent="0.3"/>
    <row r="449" ht="15.6" x14ac:dyDescent="0.3"/>
    <row r="450" ht="15.6" x14ac:dyDescent="0.3"/>
    <row r="451" ht="15.6" x14ac:dyDescent="0.3"/>
    <row r="452" ht="15.6" x14ac:dyDescent="0.3"/>
    <row r="453" ht="15.6" x14ac:dyDescent="0.3"/>
    <row r="454" ht="15.6" x14ac:dyDescent="0.3"/>
    <row r="455" ht="15.6" x14ac:dyDescent="0.3"/>
    <row r="456" ht="15.6" x14ac:dyDescent="0.3"/>
    <row r="457" ht="15.6" x14ac:dyDescent="0.3"/>
    <row r="458" ht="15.6" x14ac:dyDescent="0.3"/>
    <row r="459" ht="15.6" x14ac:dyDescent="0.3"/>
    <row r="460" ht="15.6" x14ac:dyDescent="0.3"/>
    <row r="461" ht="15.6" x14ac:dyDescent="0.3"/>
    <row r="462" ht="15.6" x14ac:dyDescent="0.3"/>
    <row r="463" ht="15.6" x14ac:dyDescent="0.3"/>
    <row r="464" ht="15.6" x14ac:dyDescent="0.3"/>
    <row r="465" ht="15.6" x14ac:dyDescent="0.3"/>
    <row r="466" ht="15.6" x14ac:dyDescent="0.3"/>
    <row r="467" ht="15.6" x14ac:dyDescent="0.3"/>
    <row r="468" ht="15.6" x14ac:dyDescent="0.3"/>
    <row r="469" ht="15.6" x14ac:dyDescent="0.3"/>
    <row r="470" ht="15.6" x14ac:dyDescent="0.3"/>
    <row r="471" ht="15.6" x14ac:dyDescent="0.3"/>
    <row r="472" ht="15.6" x14ac:dyDescent="0.3"/>
    <row r="473" ht="15.6" x14ac:dyDescent="0.3"/>
    <row r="474" ht="15.6" x14ac:dyDescent="0.3"/>
    <row r="475" ht="15.6" x14ac:dyDescent="0.3"/>
    <row r="476" ht="15.6" x14ac:dyDescent="0.3"/>
    <row r="477" ht="15.6" x14ac:dyDescent="0.3"/>
    <row r="478" ht="15.6" x14ac:dyDescent="0.3"/>
    <row r="479" ht="15.6" x14ac:dyDescent="0.3"/>
    <row r="480" ht="15.6" x14ac:dyDescent="0.3"/>
    <row r="481" ht="15.6" x14ac:dyDescent="0.3"/>
    <row r="482" ht="15.6" x14ac:dyDescent="0.3"/>
    <row r="483" ht="15.6" x14ac:dyDescent="0.3"/>
    <row r="484" ht="15.6" x14ac:dyDescent="0.3"/>
    <row r="485" ht="15.6" x14ac:dyDescent="0.3"/>
    <row r="486" ht="15.6" x14ac:dyDescent="0.3"/>
    <row r="487" ht="15.6" x14ac:dyDescent="0.3"/>
    <row r="488" ht="15.6" x14ac:dyDescent="0.3"/>
    <row r="489" ht="15.6" x14ac:dyDescent="0.3"/>
    <row r="490" ht="15.6" x14ac:dyDescent="0.3"/>
    <row r="491" ht="15.6" x14ac:dyDescent="0.3"/>
    <row r="492" ht="15.6" x14ac:dyDescent="0.3"/>
    <row r="493" ht="15.6" x14ac:dyDescent="0.3"/>
    <row r="494" ht="15.6" x14ac:dyDescent="0.3"/>
    <row r="495" ht="15.6" x14ac:dyDescent="0.3"/>
    <row r="496" ht="15.6" x14ac:dyDescent="0.3"/>
    <row r="497" ht="15.6" x14ac:dyDescent="0.3"/>
    <row r="498" ht="15.6" x14ac:dyDescent="0.3"/>
    <row r="499" ht="15.6" x14ac:dyDescent="0.3"/>
    <row r="500" ht="15.6" x14ac:dyDescent="0.3"/>
    <row r="501" ht="15.6" x14ac:dyDescent="0.3"/>
    <row r="502" ht="15.6" x14ac:dyDescent="0.3"/>
    <row r="503" ht="15.6" x14ac:dyDescent="0.3"/>
    <row r="504" ht="15.6" x14ac:dyDescent="0.3"/>
    <row r="505" ht="15.6" x14ac:dyDescent="0.3"/>
    <row r="506" ht="15.6" x14ac:dyDescent="0.3"/>
    <row r="507" ht="15.6" x14ac:dyDescent="0.3"/>
    <row r="508" ht="15.6" x14ac:dyDescent="0.3"/>
    <row r="509" ht="15.6" x14ac:dyDescent="0.3"/>
    <row r="510" ht="15.6" x14ac:dyDescent="0.3"/>
    <row r="511" ht="15.6" x14ac:dyDescent="0.3"/>
    <row r="512" ht="15.6" x14ac:dyDescent="0.3"/>
    <row r="513" ht="15.6" x14ac:dyDescent="0.3"/>
    <row r="514" ht="15.6" x14ac:dyDescent="0.3"/>
    <row r="515" ht="15.6" x14ac:dyDescent="0.3"/>
    <row r="516" ht="15.6" x14ac:dyDescent="0.3"/>
    <row r="517" ht="15.6" x14ac:dyDescent="0.3"/>
    <row r="518" ht="15.6" x14ac:dyDescent="0.3"/>
    <row r="519" ht="15.6" x14ac:dyDescent="0.3"/>
    <row r="520" ht="15.6" x14ac:dyDescent="0.3"/>
    <row r="521" ht="15.6" x14ac:dyDescent="0.3"/>
    <row r="522" ht="15.6" x14ac:dyDescent="0.3"/>
    <row r="523" ht="15.6" x14ac:dyDescent="0.3"/>
    <row r="524" ht="15.6" x14ac:dyDescent="0.3"/>
    <row r="525" ht="15.6" x14ac:dyDescent="0.3"/>
    <row r="526" ht="15.6" x14ac:dyDescent="0.3"/>
    <row r="527" ht="15.6" x14ac:dyDescent="0.3"/>
    <row r="528" ht="15.6" x14ac:dyDescent="0.3"/>
    <row r="529" ht="15.6" x14ac:dyDescent="0.3"/>
    <row r="530" ht="15.6" x14ac:dyDescent="0.3"/>
    <row r="531" ht="15.6" x14ac:dyDescent="0.3"/>
    <row r="532" ht="15.6" x14ac:dyDescent="0.3"/>
    <row r="533" ht="15.6" x14ac:dyDescent="0.3"/>
    <row r="534" ht="15.6" x14ac:dyDescent="0.3"/>
    <row r="535" ht="15.6" x14ac:dyDescent="0.3"/>
    <row r="536" ht="15.6" x14ac:dyDescent="0.3"/>
    <row r="537" ht="15.6" x14ac:dyDescent="0.3"/>
    <row r="538" ht="15.6" x14ac:dyDescent="0.3"/>
    <row r="539" ht="15.6" x14ac:dyDescent="0.3"/>
    <row r="540" ht="15.6" x14ac:dyDescent="0.3"/>
    <row r="541" ht="15.6" x14ac:dyDescent="0.3"/>
    <row r="542" ht="15.6" x14ac:dyDescent="0.3"/>
    <row r="543" ht="15.6" x14ac:dyDescent="0.3"/>
    <row r="544" ht="15.6" x14ac:dyDescent="0.3"/>
    <row r="545" ht="15.6" x14ac:dyDescent="0.3"/>
    <row r="546" ht="15.6" x14ac:dyDescent="0.3"/>
    <row r="547" ht="15.6" x14ac:dyDescent="0.3"/>
    <row r="548" ht="15.6" x14ac:dyDescent="0.3"/>
    <row r="549" ht="15.6" x14ac:dyDescent="0.3"/>
    <row r="550" ht="15.6" x14ac:dyDescent="0.3"/>
    <row r="551" ht="15.6" x14ac:dyDescent="0.3"/>
    <row r="552" ht="15.6" x14ac:dyDescent="0.3"/>
    <row r="553" ht="15.6" x14ac:dyDescent="0.3"/>
    <row r="554" ht="15.6" x14ac:dyDescent="0.3"/>
    <row r="555" ht="15.6" x14ac:dyDescent="0.3"/>
    <row r="556" ht="15.6" x14ac:dyDescent="0.3"/>
    <row r="557" ht="15.6" x14ac:dyDescent="0.3"/>
    <row r="558" ht="15.6" x14ac:dyDescent="0.3"/>
    <row r="559" ht="15.6" x14ac:dyDescent="0.3"/>
    <row r="560" ht="15.6" x14ac:dyDescent="0.3"/>
    <row r="561" ht="15.6" x14ac:dyDescent="0.3"/>
    <row r="562" ht="15.6" x14ac:dyDescent="0.3"/>
    <row r="563" ht="15.6" x14ac:dyDescent="0.3"/>
    <row r="564" ht="15.6" x14ac:dyDescent="0.3"/>
    <row r="565" ht="15.6" x14ac:dyDescent="0.3"/>
    <row r="566" ht="15.6" x14ac:dyDescent="0.3"/>
    <row r="567" ht="15.6" x14ac:dyDescent="0.3"/>
    <row r="568" ht="15.6" x14ac:dyDescent="0.3"/>
    <row r="569" ht="15.6" x14ac:dyDescent="0.3"/>
    <row r="570" ht="15.6" x14ac:dyDescent="0.3"/>
    <row r="571" ht="15.6" x14ac:dyDescent="0.3"/>
    <row r="572" ht="15.6" x14ac:dyDescent="0.3"/>
    <row r="573" ht="15.6" x14ac:dyDescent="0.3"/>
    <row r="574" ht="15.6" x14ac:dyDescent="0.3"/>
    <row r="575" ht="15.6" x14ac:dyDescent="0.3"/>
    <row r="576" ht="15.6" x14ac:dyDescent="0.3"/>
    <row r="577" ht="15.6" x14ac:dyDescent="0.3"/>
    <row r="578" ht="15.6" x14ac:dyDescent="0.3"/>
    <row r="579" ht="15.6" x14ac:dyDescent="0.3"/>
    <row r="580" ht="15.6" x14ac:dyDescent="0.3"/>
    <row r="581" ht="15.6" x14ac:dyDescent="0.3"/>
    <row r="582" ht="15.6" x14ac:dyDescent="0.3"/>
    <row r="583" ht="15.6" x14ac:dyDescent="0.3"/>
    <row r="584" ht="15.6" x14ac:dyDescent="0.3"/>
    <row r="585" ht="15.6" x14ac:dyDescent="0.3"/>
    <row r="586" ht="15.6" x14ac:dyDescent="0.3"/>
    <row r="587" ht="15.6" x14ac:dyDescent="0.3"/>
    <row r="588" ht="15.6" x14ac:dyDescent="0.3"/>
    <row r="589" ht="15.6" x14ac:dyDescent="0.3"/>
    <row r="590" ht="15.6" x14ac:dyDescent="0.3"/>
    <row r="591" ht="15.6" x14ac:dyDescent="0.3"/>
    <row r="592" ht="15.6" x14ac:dyDescent="0.3"/>
    <row r="593" ht="15.6" x14ac:dyDescent="0.3"/>
    <row r="594" ht="15.6" x14ac:dyDescent="0.3"/>
    <row r="595" ht="15.6" x14ac:dyDescent="0.3"/>
    <row r="596" ht="15.6" x14ac:dyDescent="0.3"/>
    <row r="597" ht="15.6" x14ac:dyDescent="0.3"/>
    <row r="598" ht="15.6" x14ac:dyDescent="0.3"/>
    <row r="599" ht="15.6" x14ac:dyDescent="0.3"/>
    <row r="600" ht="15.6" x14ac:dyDescent="0.3"/>
    <row r="601" ht="15.6" x14ac:dyDescent="0.3"/>
    <row r="602" ht="15.6" x14ac:dyDescent="0.3"/>
    <row r="603" ht="15.6" x14ac:dyDescent="0.3"/>
    <row r="604" ht="15.6" x14ac:dyDescent="0.3"/>
    <row r="605" ht="15.6" x14ac:dyDescent="0.3"/>
    <row r="606" ht="15.6" x14ac:dyDescent="0.3"/>
    <row r="607" ht="15.6" x14ac:dyDescent="0.3"/>
    <row r="608" ht="15.6" x14ac:dyDescent="0.3"/>
    <row r="609" ht="15.6" x14ac:dyDescent="0.3"/>
    <row r="610" ht="15.6" x14ac:dyDescent="0.3"/>
    <row r="611" ht="15.6" x14ac:dyDescent="0.3"/>
    <row r="612" ht="15.6" x14ac:dyDescent="0.3"/>
    <row r="613" ht="15.6" x14ac:dyDescent="0.3"/>
    <row r="614" ht="15.6" x14ac:dyDescent="0.3"/>
    <row r="615" ht="15.6" x14ac:dyDescent="0.3"/>
    <row r="616" ht="15.6" x14ac:dyDescent="0.3"/>
    <row r="617" ht="15.6" x14ac:dyDescent="0.3"/>
    <row r="618" ht="15.6" x14ac:dyDescent="0.3"/>
    <row r="619" ht="15.6" x14ac:dyDescent="0.3"/>
    <row r="620" ht="15.6" x14ac:dyDescent="0.3"/>
    <row r="621" ht="15.6" x14ac:dyDescent="0.3"/>
    <row r="622" ht="15.6" x14ac:dyDescent="0.3"/>
    <row r="623" ht="15.6" x14ac:dyDescent="0.3"/>
    <row r="624" ht="15.6" x14ac:dyDescent="0.3"/>
    <row r="625" ht="15.6" x14ac:dyDescent="0.3"/>
    <row r="626" ht="15.6" x14ac:dyDescent="0.3"/>
    <row r="627" ht="15.6" x14ac:dyDescent="0.3"/>
    <row r="628" ht="15.6" x14ac:dyDescent="0.3"/>
    <row r="629" ht="15.6" x14ac:dyDescent="0.3"/>
    <row r="630" ht="15.6" x14ac:dyDescent="0.3"/>
    <row r="631" ht="15.6" x14ac:dyDescent="0.3"/>
    <row r="632" ht="15.6" x14ac:dyDescent="0.3"/>
    <row r="633" ht="15.6" x14ac:dyDescent="0.3"/>
    <row r="634" ht="15.6" x14ac:dyDescent="0.3"/>
    <row r="635" ht="15.6" x14ac:dyDescent="0.3"/>
    <row r="636" ht="15.6" x14ac:dyDescent="0.3"/>
    <row r="637" ht="15.6" x14ac:dyDescent="0.3"/>
    <row r="638" ht="15.6" x14ac:dyDescent="0.3"/>
    <row r="639" ht="15.6" x14ac:dyDescent="0.3"/>
    <row r="640" ht="15.6" x14ac:dyDescent="0.3"/>
    <row r="641" ht="15.6" x14ac:dyDescent="0.3"/>
    <row r="642" ht="15.6" x14ac:dyDescent="0.3"/>
    <row r="643" ht="15.6" x14ac:dyDescent="0.3"/>
    <row r="644" ht="15.6" x14ac:dyDescent="0.3"/>
    <row r="645" ht="15.6" x14ac:dyDescent="0.3"/>
    <row r="646" ht="15.6" x14ac:dyDescent="0.3"/>
    <row r="647" ht="15.6" x14ac:dyDescent="0.3"/>
    <row r="648" ht="15.6" x14ac:dyDescent="0.3"/>
    <row r="649" ht="15.6" x14ac:dyDescent="0.3"/>
    <row r="650" ht="15.6" x14ac:dyDescent="0.3"/>
    <row r="651" ht="15.6" x14ac:dyDescent="0.3"/>
    <row r="652" ht="15.6" x14ac:dyDescent="0.3"/>
    <row r="653" ht="15.6" x14ac:dyDescent="0.3"/>
    <row r="654" ht="15.6" x14ac:dyDescent="0.3"/>
    <row r="655" ht="15.6" x14ac:dyDescent="0.3"/>
    <row r="656" ht="15.6" x14ac:dyDescent="0.3"/>
    <row r="657" ht="15.6" x14ac:dyDescent="0.3"/>
    <row r="658" ht="15.6" x14ac:dyDescent="0.3"/>
    <row r="659" ht="15.6" x14ac:dyDescent="0.3"/>
    <row r="660" ht="15.6" x14ac:dyDescent="0.3"/>
    <row r="661" ht="15.6" x14ac:dyDescent="0.3"/>
    <row r="662" ht="15.6" x14ac:dyDescent="0.3"/>
    <row r="663" ht="15.6" x14ac:dyDescent="0.3"/>
    <row r="664" ht="15.6" x14ac:dyDescent="0.3"/>
    <row r="665" ht="15.6" x14ac:dyDescent="0.3"/>
    <row r="666" ht="15.6" x14ac:dyDescent="0.3"/>
    <row r="667" ht="15.6" x14ac:dyDescent="0.3"/>
    <row r="668" ht="15.6" x14ac:dyDescent="0.3"/>
    <row r="669" ht="15.6" x14ac:dyDescent="0.3"/>
    <row r="670" ht="15.6" x14ac:dyDescent="0.3"/>
    <row r="671" ht="15.6" x14ac:dyDescent="0.3"/>
    <row r="672" ht="15.6" x14ac:dyDescent="0.3"/>
    <row r="673" ht="15.6" x14ac:dyDescent="0.3"/>
    <row r="674" ht="15.6" x14ac:dyDescent="0.3"/>
    <row r="675" ht="15.6" x14ac:dyDescent="0.3"/>
    <row r="676" ht="15.6" x14ac:dyDescent="0.3"/>
    <row r="677" ht="15.6" x14ac:dyDescent="0.3"/>
    <row r="678" ht="15.6" x14ac:dyDescent="0.3"/>
    <row r="679" ht="15.6" x14ac:dyDescent="0.3"/>
    <row r="680" ht="15.6" x14ac:dyDescent="0.3"/>
    <row r="681" ht="15.6" x14ac:dyDescent="0.3"/>
    <row r="682" ht="15.6" x14ac:dyDescent="0.3"/>
    <row r="683" ht="15.6" x14ac:dyDescent="0.3"/>
    <row r="684" ht="15.6" x14ac:dyDescent="0.3"/>
    <row r="685" ht="15.6" x14ac:dyDescent="0.3"/>
    <row r="686" ht="15.6" x14ac:dyDescent="0.3"/>
    <row r="687" ht="15.6" x14ac:dyDescent="0.3"/>
    <row r="688" ht="15.6" x14ac:dyDescent="0.3"/>
    <row r="689" ht="15.6" x14ac:dyDescent="0.3"/>
    <row r="690" ht="15.6" x14ac:dyDescent="0.3"/>
    <row r="691" ht="15.6" x14ac:dyDescent="0.3"/>
    <row r="692" ht="15.6" x14ac:dyDescent="0.3"/>
    <row r="693" ht="15.6" x14ac:dyDescent="0.3"/>
    <row r="694" ht="15.6" x14ac:dyDescent="0.3"/>
    <row r="695" ht="15.6" x14ac:dyDescent="0.3"/>
    <row r="696" ht="15.6" x14ac:dyDescent="0.3"/>
    <row r="697" ht="15.6" x14ac:dyDescent="0.3"/>
    <row r="698" ht="15.6" x14ac:dyDescent="0.3"/>
    <row r="699" ht="15.6" x14ac:dyDescent="0.3"/>
    <row r="700" ht="15.6" x14ac:dyDescent="0.3"/>
    <row r="701" ht="15.6" x14ac:dyDescent="0.3"/>
    <row r="702" ht="15.6" x14ac:dyDescent="0.3"/>
    <row r="703" ht="15.6" x14ac:dyDescent="0.3"/>
    <row r="704" ht="15.6" x14ac:dyDescent="0.3"/>
    <row r="705" ht="15.6" x14ac:dyDescent="0.3"/>
    <row r="706" ht="15.6" x14ac:dyDescent="0.3"/>
    <row r="707" ht="15.6" x14ac:dyDescent="0.3"/>
    <row r="708" ht="15.6" x14ac:dyDescent="0.3"/>
    <row r="709" ht="15.6" x14ac:dyDescent="0.3"/>
    <row r="710" ht="15.6" x14ac:dyDescent="0.3"/>
    <row r="711" ht="15.6" x14ac:dyDescent="0.3"/>
    <row r="712" ht="15.6" x14ac:dyDescent="0.3"/>
    <row r="713" ht="15.6" x14ac:dyDescent="0.3"/>
    <row r="714" ht="15.6" x14ac:dyDescent="0.3"/>
    <row r="715" ht="15.6" x14ac:dyDescent="0.3"/>
    <row r="716" ht="15.6" x14ac:dyDescent="0.3"/>
    <row r="717" ht="15.6" x14ac:dyDescent="0.3"/>
    <row r="718" ht="15.6" x14ac:dyDescent="0.3"/>
    <row r="719" ht="15.6" x14ac:dyDescent="0.3"/>
    <row r="720" ht="15.6" x14ac:dyDescent="0.3"/>
    <row r="721" ht="15.6" x14ac:dyDescent="0.3"/>
    <row r="722" ht="15.6" x14ac:dyDescent="0.3"/>
    <row r="723" ht="15.6" x14ac:dyDescent="0.3"/>
    <row r="724" ht="15.6" x14ac:dyDescent="0.3"/>
    <row r="725" ht="15.6" x14ac:dyDescent="0.3"/>
    <row r="726" ht="15.6" x14ac:dyDescent="0.3"/>
    <row r="727" ht="15.6" x14ac:dyDescent="0.3"/>
    <row r="728" ht="15.6" x14ac:dyDescent="0.3"/>
    <row r="729" ht="15.6" x14ac:dyDescent="0.3"/>
    <row r="730" ht="15.6" x14ac:dyDescent="0.3"/>
    <row r="731" ht="15.6" x14ac:dyDescent="0.3"/>
    <row r="732" ht="15.6" x14ac:dyDescent="0.3"/>
    <row r="733" ht="15.6" x14ac:dyDescent="0.3"/>
    <row r="734" ht="15.6" x14ac:dyDescent="0.3"/>
    <row r="735" ht="15.6" x14ac:dyDescent="0.3"/>
    <row r="736" ht="15.6" x14ac:dyDescent="0.3"/>
    <row r="737" ht="15.6" x14ac:dyDescent="0.3"/>
    <row r="738" ht="15.6" x14ac:dyDescent="0.3"/>
    <row r="739" ht="15.6" x14ac:dyDescent="0.3"/>
    <row r="740" ht="15.6" x14ac:dyDescent="0.3"/>
    <row r="741" ht="15.6" x14ac:dyDescent="0.3"/>
    <row r="742" ht="15.6" x14ac:dyDescent="0.3"/>
    <row r="743" ht="15.6" x14ac:dyDescent="0.3"/>
    <row r="744" ht="15.6" x14ac:dyDescent="0.3"/>
    <row r="745" ht="15.6" x14ac:dyDescent="0.3"/>
    <row r="746" ht="15.6" x14ac:dyDescent="0.3"/>
    <row r="747" ht="15.6" x14ac:dyDescent="0.3"/>
    <row r="748" ht="15.6" x14ac:dyDescent="0.3"/>
    <row r="749" ht="15.6" x14ac:dyDescent="0.3"/>
    <row r="750" ht="15.6" x14ac:dyDescent="0.3"/>
    <row r="751" ht="15.6" x14ac:dyDescent="0.3"/>
    <row r="752" ht="15.6" x14ac:dyDescent="0.3"/>
    <row r="753" ht="15.6" x14ac:dyDescent="0.3"/>
    <row r="754" ht="15.6" x14ac:dyDescent="0.3"/>
    <row r="755" ht="15.6" x14ac:dyDescent="0.3"/>
    <row r="756" ht="15.6" x14ac:dyDescent="0.3"/>
    <row r="757" ht="15.6" x14ac:dyDescent="0.3"/>
    <row r="758" ht="15.6" x14ac:dyDescent="0.3"/>
    <row r="759" ht="15.6" x14ac:dyDescent="0.3"/>
    <row r="760" ht="15.6" x14ac:dyDescent="0.3"/>
    <row r="761" ht="15.6" x14ac:dyDescent="0.3"/>
    <row r="762" ht="15.6" x14ac:dyDescent="0.3"/>
    <row r="763" ht="15.6" x14ac:dyDescent="0.3"/>
    <row r="764" ht="15.6" x14ac:dyDescent="0.3"/>
    <row r="765" ht="15.6" x14ac:dyDescent="0.3"/>
    <row r="766" ht="15.6" x14ac:dyDescent="0.3"/>
    <row r="767" ht="15.6" x14ac:dyDescent="0.3"/>
    <row r="768" ht="15.6" x14ac:dyDescent="0.3"/>
    <row r="769" ht="15.6" x14ac:dyDescent="0.3"/>
    <row r="770" ht="15.6" x14ac:dyDescent="0.3"/>
    <row r="771" ht="15.6" x14ac:dyDescent="0.3"/>
    <row r="772" ht="15.6" x14ac:dyDescent="0.3"/>
    <row r="773" ht="15.6" x14ac:dyDescent="0.3"/>
    <row r="774" ht="15.6" x14ac:dyDescent="0.3"/>
    <row r="775" ht="15.6" x14ac:dyDescent="0.3"/>
    <row r="776" ht="15.6" x14ac:dyDescent="0.3"/>
    <row r="777" ht="15.6" x14ac:dyDescent="0.3"/>
    <row r="778" ht="15.6" x14ac:dyDescent="0.3"/>
    <row r="779" ht="15.6" x14ac:dyDescent="0.3"/>
    <row r="780" ht="15.6" x14ac:dyDescent="0.3"/>
    <row r="781" ht="15.6" x14ac:dyDescent="0.3"/>
    <row r="782" ht="15.6" x14ac:dyDescent="0.3"/>
    <row r="783" ht="15.6" x14ac:dyDescent="0.3"/>
    <row r="784" ht="15.6" x14ac:dyDescent="0.3"/>
    <row r="785" ht="15.6" x14ac:dyDescent="0.3"/>
    <row r="786" ht="15.6" x14ac:dyDescent="0.3"/>
    <row r="787" ht="15.6" x14ac:dyDescent="0.3"/>
    <row r="788" ht="15.6" x14ac:dyDescent="0.3"/>
    <row r="789" ht="15.6" x14ac:dyDescent="0.3"/>
    <row r="790" ht="15.6" x14ac:dyDescent="0.3"/>
    <row r="791" ht="15.6" x14ac:dyDescent="0.3"/>
    <row r="792" ht="15.6" x14ac:dyDescent="0.3"/>
    <row r="793" ht="15.6" x14ac:dyDescent="0.3"/>
    <row r="794" ht="15.6" x14ac:dyDescent="0.3"/>
    <row r="795" ht="15.6" x14ac:dyDescent="0.3"/>
    <row r="796" ht="15.6" x14ac:dyDescent="0.3"/>
    <row r="797" ht="15.6" x14ac:dyDescent="0.3"/>
    <row r="798" ht="15.6" x14ac:dyDescent="0.3"/>
    <row r="799" ht="15.6" x14ac:dyDescent="0.3"/>
    <row r="800" ht="15.6" x14ac:dyDescent="0.3"/>
    <row r="801" ht="15.6" x14ac:dyDescent="0.3"/>
    <row r="802" ht="15.6" x14ac:dyDescent="0.3"/>
    <row r="803" ht="15.6" x14ac:dyDescent="0.3"/>
    <row r="804" ht="15.6" x14ac:dyDescent="0.3"/>
    <row r="805" ht="15.6" x14ac:dyDescent="0.3"/>
    <row r="806" ht="15.6" x14ac:dyDescent="0.3"/>
    <row r="807" ht="15.6" x14ac:dyDescent="0.3"/>
    <row r="808" ht="15.6" x14ac:dyDescent="0.3"/>
    <row r="809" ht="15.6" x14ac:dyDescent="0.3"/>
    <row r="810" ht="15.6" x14ac:dyDescent="0.3"/>
    <row r="811" ht="15.6" x14ac:dyDescent="0.3"/>
    <row r="812" ht="15.6" x14ac:dyDescent="0.3"/>
    <row r="813" ht="15.6" x14ac:dyDescent="0.3"/>
    <row r="814" ht="15.6" x14ac:dyDescent="0.3"/>
    <row r="815" ht="15.6" x14ac:dyDescent="0.3"/>
    <row r="816" ht="15.6" x14ac:dyDescent="0.3"/>
    <row r="817" ht="15.6" x14ac:dyDescent="0.3"/>
    <row r="818" ht="15.6" x14ac:dyDescent="0.3"/>
    <row r="819" ht="15.6" x14ac:dyDescent="0.3"/>
    <row r="820" ht="15.6" x14ac:dyDescent="0.3"/>
    <row r="821" ht="15.6" x14ac:dyDescent="0.3"/>
    <row r="822" ht="15.6" x14ac:dyDescent="0.3"/>
    <row r="823" ht="15.6" x14ac:dyDescent="0.3"/>
    <row r="824" ht="15.6" x14ac:dyDescent="0.3"/>
    <row r="825" ht="15.6" x14ac:dyDescent="0.3"/>
    <row r="826" ht="15.6" x14ac:dyDescent="0.3"/>
    <row r="827" ht="15.6" x14ac:dyDescent="0.3"/>
    <row r="828" ht="15.6" x14ac:dyDescent="0.3"/>
    <row r="829" ht="15.6" x14ac:dyDescent="0.3"/>
    <row r="830" ht="15.6" x14ac:dyDescent="0.3"/>
    <row r="831" ht="15.6" x14ac:dyDescent="0.3"/>
    <row r="832" ht="15.6" x14ac:dyDescent="0.3"/>
    <row r="833" ht="15.6" x14ac:dyDescent="0.3"/>
    <row r="834" ht="15.6" x14ac:dyDescent="0.3"/>
    <row r="835" ht="15.6" x14ac:dyDescent="0.3"/>
    <row r="836" ht="15.6" x14ac:dyDescent="0.3"/>
    <row r="837" ht="15.6" x14ac:dyDescent="0.3"/>
    <row r="838" ht="15.6" x14ac:dyDescent="0.3"/>
    <row r="839" ht="15.6" x14ac:dyDescent="0.3"/>
    <row r="840" ht="15.6" x14ac:dyDescent="0.3"/>
    <row r="841" ht="15.6" x14ac:dyDescent="0.3"/>
    <row r="842" ht="15.6" x14ac:dyDescent="0.3"/>
    <row r="843" ht="15.6" x14ac:dyDescent="0.3"/>
    <row r="844" ht="15.6" x14ac:dyDescent="0.3"/>
    <row r="845" ht="15.6" x14ac:dyDescent="0.3"/>
    <row r="846" ht="15.6" x14ac:dyDescent="0.3"/>
    <row r="847" ht="15.6" x14ac:dyDescent="0.3"/>
    <row r="848" ht="15.6" x14ac:dyDescent="0.3"/>
    <row r="849" ht="15.6" x14ac:dyDescent="0.3"/>
    <row r="850" ht="15.6" x14ac:dyDescent="0.3"/>
    <row r="851" ht="15.6" x14ac:dyDescent="0.3"/>
    <row r="852" ht="15.6" x14ac:dyDescent="0.3"/>
    <row r="853" ht="15.6" x14ac:dyDescent="0.3"/>
    <row r="854" ht="15.6" x14ac:dyDescent="0.3"/>
    <row r="855" ht="15.6" x14ac:dyDescent="0.3"/>
    <row r="856" ht="15.6" x14ac:dyDescent="0.3"/>
    <row r="857" ht="15.6" x14ac:dyDescent="0.3"/>
    <row r="858" ht="15.6" x14ac:dyDescent="0.3"/>
    <row r="859" ht="15.6" x14ac:dyDescent="0.3"/>
    <row r="860" ht="15.6" x14ac:dyDescent="0.3"/>
    <row r="861" ht="15.6" x14ac:dyDescent="0.3"/>
    <row r="862" ht="15.6" x14ac:dyDescent="0.3"/>
    <row r="863" ht="15.6" x14ac:dyDescent="0.3"/>
    <row r="864" ht="15.6" x14ac:dyDescent="0.3"/>
    <row r="865" ht="15.6" x14ac:dyDescent="0.3"/>
    <row r="866" ht="15.6" x14ac:dyDescent="0.3"/>
    <row r="867" ht="15.6" x14ac:dyDescent="0.3"/>
    <row r="868" ht="15.6" x14ac:dyDescent="0.3"/>
    <row r="869" ht="15.6" x14ac:dyDescent="0.3"/>
    <row r="870" ht="15.6" x14ac:dyDescent="0.3"/>
    <row r="871" ht="15.6" x14ac:dyDescent="0.3"/>
    <row r="872" ht="15.6" x14ac:dyDescent="0.3"/>
    <row r="873" ht="15.6" x14ac:dyDescent="0.3"/>
    <row r="874" ht="15.6" x14ac:dyDescent="0.3"/>
    <row r="875" ht="15.6" x14ac:dyDescent="0.3"/>
    <row r="876" ht="15.6" x14ac:dyDescent="0.3"/>
    <row r="877" ht="15.6" x14ac:dyDescent="0.3"/>
    <row r="878" ht="15.6" x14ac:dyDescent="0.3"/>
    <row r="879" ht="15.6" x14ac:dyDescent="0.3"/>
    <row r="880" ht="15.6" x14ac:dyDescent="0.3"/>
    <row r="881" ht="15.6" x14ac:dyDescent="0.3"/>
    <row r="882" ht="15.6" x14ac:dyDescent="0.3"/>
    <row r="883" ht="15.6" x14ac:dyDescent="0.3"/>
    <row r="884" ht="15.6" x14ac:dyDescent="0.3"/>
    <row r="885" ht="15.6" x14ac:dyDescent="0.3"/>
    <row r="886" ht="15.6" x14ac:dyDescent="0.3"/>
    <row r="887" ht="15.6" x14ac:dyDescent="0.3"/>
    <row r="888" ht="15.6" x14ac:dyDescent="0.3"/>
    <row r="889" ht="15.6" x14ac:dyDescent="0.3"/>
    <row r="890" ht="15.6" x14ac:dyDescent="0.3"/>
    <row r="891" ht="15.6" x14ac:dyDescent="0.3"/>
    <row r="892" ht="15.6" x14ac:dyDescent="0.3"/>
    <row r="893" ht="15.6" x14ac:dyDescent="0.3"/>
    <row r="894" ht="15.6" x14ac:dyDescent="0.3"/>
    <row r="895" ht="15.6" x14ac:dyDescent="0.3"/>
    <row r="896" ht="15.6" x14ac:dyDescent="0.3"/>
    <row r="897" ht="15.6" x14ac:dyDescent="0.3"/>
    <row r="898" ht="15.6" x14ac:dyDescent="0.3"/>
    <row r="899" ht="15.6" x14ac:dyDescent="0.3"/>
    <row r="900" ht="15.6" x14ac:dyDescent="0.3"/>
    <row r="901" ht="15.6" x14ac:dyDescent="0.3"/>
    <row r="902" ht="15.6" x14ac:dyDescent="0.3"/>
    <row r="903" ht="15.6" x14ac:dyDescent="0.3"/>
    <row r="904" ht="15.6" x14ac:dyDescent="0.3"/>
    <row r="905" ht="15.6" x14ac:dyDescent="0.3"/>
    <row r="906" ht="15.6" x14ac:dyDescent="0.3"/>
    <row r="907" ht="15.6" x14ac:dyDescent="0.3"/>
    <row r="908" ht="15.6" x14ac:dyDescent="0.3"/>
    <row r="909" ht="15.6" x14ac:dyDescent="0.3"/>
    <row r="910" ht="15.6" x14ac:dyDescent="0.3"/>
    <row r="911" ht="15.6" x14ac:dyDescent="0.3"/>
    <row r="912" ht="15.6" x14ac:dyDescent="0.3"/>
    <row r="913" ht="15.6" x14ac:dyDescent="0.3"/>
    <row r="914" ht="15.6" x14ac:dyDescent="0.3"/>
    <row r="915" ht="15.6" x14ac:dyDescent="0.3"/>
    <row r="916" ht="15.6" x14ac:dyDescent="0.3"/>
    <row r="917" ht="15.6" x14ac:dyDescent="0.3"/>
    <row r="918" ht="15.6" x14ac:dyDescent="0.3"/>
    <row r="919" ht="15.6" x14ac:dyDescent="0.3"/>
    <row r="920" ht="15.6" x14ac:dyDescent="0.3"/>
    <row r="921" ht="15.6" x14ac:dyDescent="0.3"/>
    <row r="922" ht="15.6" x14ac:dyDescent="0.3"/>
    <row r="923" ht="15.6" x14ac:dyDescent="0.3"/>
    <row r="924" ht="15.6" x14ac:dyDescent="0.3"/>
    <row r="925" ht="15.6" x14ac:dyDescent="0.3"/>
    <row r="926" ht="15.6" x14ac:dyDescent="0.3"/>
    <row r="927" ht="15.6" x14ac:dyDescent="0.3"/>
    <row r="928" ht="15.6" x14ac:dyDescent="0.3"/>
    <row r="929" ht="15.6" x14ac:dyDescent="0.3"/>
    <row r="930" ht="15.6" x14ac:dyDescent="0.3"/>
    <row r="931" ht="15.6" x14ac:dyDescent="0.3"/>
    <row r="932" ht="15.6" x14ac:dyDescent="0.3"/>
    <row r="933" ht="15.6" x14ac:dyDescent="0.3"/>
    <row r="934" ht="15.6" x14ac:dyDescent="0.3"/>
    <row r="935" ht="15.6" x14ac:dyDescent="0.3"/>
    <row r="936" ht="15.6" x14ac:dyDescent="0.3"/>
    <row r="937" ht="15.6" x14ac:dyDescent="0.3"/>
    <row r="938" ht="15.6" x14ac:dyDescent="0.3"/>
    <row r="939" ht="15.6" x14ac:dyDescent="0.3"/>
    <row r="940" ht="15.6" x14ac:dyDescent="0.3"/>
    <row r="941" ht="15.6" x14ac:dyDescent="0.3"/>
    <row r="942" ht="15.6" x14ac:dyDescent="0.3"/>
    <row r="943" ht="15.6" x14ac:dyDescent="0.3"/>
    <row r="944" ht="15.6" x14ac:dyDescent="0.3"/>
    <row r="945" ht="15.6" x14ac:dyDescent="0.3"/>
    <row r="946" ht="15.6" x14ac:dyDescent="0.3"/>
    <row r="947" ht="15.6" x14ac:dyDescent="0.3"/>
    <row r="948" ht="15.6" x14ac:dyDescent="0.3"/>
    <row r="949" ht="15.6" x14ac:dyDescent="0.3"/>
    <row r="950" ht="15.6" x14ac:dyDescent="0.3"/>
    <row r="951" ht="15.6" x14ac:dyDescent="0.3"/>
    <row r="952" ht="15.6" x14ac:dyDescent="0.3"/>
    <row r="953" ht="15.6" x14ac:dyDescent="0.3"/>
    <row r="954" ht="15.6" x14ac:dyDescent="0.3"/>
    <row r="955" ht="15.6" x14ac:dyDescent="0.3"/>
    <row r="956" ht="15.6" x14ac:dyDescent="0.3"/>
    <row r="957" ht="15.6" x14ac:dyDescent="0.3"/>
    <row r="958" ht="15.6" x14ac:dyDescent="0.3"/>
    <row r="959" ht="15.6" x14ac:dyDescent="0.3"/>
    <row r="960" ht="15.6" x14ac:dyDescent="0.3"/>
    <row r="961" ht="15.6" x14ac:dyDescent="0.3"/>
    <row r="962" ht="15.6" x14ac:dyDescent="0.3"/>
    <row r="963" ht="15.6" x14ac:dyDescent="0.3"/>
    <row r="964" ht="15.6" x14ac:dyDescent="0.3"/>
    <row r="965" ht="15.6" x14ac:dyDescent="0.3"/>
    <row r="966" ht="15.6" x14ac:dyDescent="0.3"/>
    <row r="967" ht="15.6" x14ac:dyDescent="0.3"/>
    <row r="968" ht="15.6" x14ac:dyDescent="0.3"/>
    <row r="969" ht="15.6" x14ac:dyDescent="0.3"/>
    <row r="970" ht="15.6" x14ac:dyDescent="0.3"/>
    <row r="971" ht="15.6" x14ac:dyDescent="0.3"/>
    <row r="972" ht="15.6" x14ac:dyDescent="0.3"/>
    <row r="973" ht="15.6" x14ac:dyDescent="0.3"/>
    <row r="974" ht="15.6" x14ac:dyDescent="0.3"/>
    <row r="975" ht="15.6" x14ac:dyDescent="0.3"/>
    <row r="976" ht="15.6" x14ac:dyDescent="0.3"/>
    <row r="977" ht="15.6" x14ac:dyDescent="0.3"/>
    <row r="978" ht="15.6" x14ac:dyDescent="0.3"/>
    <row r="979" ht="15.6" x14ac:dyDescent="0.3"/>
    <row r="980" ht="15.6" x14ac:dyDescent="0.3"/>
    <row r="981" ht="15.6" x14ac:dyDescent="0.3"/>
    <row r="982" ht="15.6" x14ac:dyDescent="0.3"/>
    <row r="983" ht="15.6" x14ac:dyDescent="0.3"/>
    <row r="984" ht="15.6" x14ac:dyDescent="0.3"/>
    <row r="985" ht="15.6" x14ac:dyDescent="0.3"/>
    <row r="986" ht="15.6" x14ac:dyDescent="0.3"/>
    <row r="987" ht="15.6" x14ac:dyDescent="0.3"/>
    <row r="988" ht="15.6" x14ac:dyDescent="0.3"/>
    <row r="989" ht="15.6" x14ac:dyDescent="0.3"/>
    <row r="990" ht="15.6" x14ac:dyDescent="0.3"/>
    <row r="991" ht="15.6" x14ac:dyDescent="0.3"/>
    <row r="992" ht="15.6" x14ac:dyDescent="0.3"/>
    <row r="993" ht="15.6" x14ac:dyDescent="0.3"/>
    <row r="994" ht="15.6" x14ac:dyDescent="0.3"/>
    <row r="995" ht="15.6" x14ac:dyDescent="0.3"/>
    <row r="996" ht="15.6" x14ac:dyDescent="0.3"/>
    <row r="997" ht="15.6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N1014"/>
  <sheetViews>
    <sheetView showGridLines="0" zoomScaleNormal="10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N26" sqref="N26"/>
    </sheetView>
  </sheetViews>
  <sheetFormatPr defaultColWidth="0" defaultRowHeight="15" customHeight="1" x14ac:dyDescent="0.25"/>
  <cols>
    <col min="1" max="1" width="4.109375" style="15" customWidth="1"/>
    <col min="2" max="3" width="3.6640625" style="15" customWidth="1"/>
    <col min="4" max="4" width="35.109375" style="15" bestFit="1" customWidth="1"/>
    <col min="5" max="5" width="16.44140625" style="15" customWidth="1"/>
    <col min="6" max="8" width="14.44140625" style="15" customWidth="1"/>
    <col min="9" max="12" width="15.88671875" style="15" customWidth="1"/>
    <col min="13" max="14" width="14.44140625" style="15" customWidth="1"/>
    <col min="15" max="16384" width="14.44140625" style="15" hidden="1"/>
  </cols>
  <sheetData>
    <row r="1" spans="2:13" ht="13.8" x14ac:dyDescent="0.25"/>
    <row r="2" spans="2:13" ht="32.4" customHeight="1" x14ac:dyDescent="0.5">
      <c r="B2" s="44" t="str">
        <f>CompanyName</f>
        <v>Cronyx Mining Ltd</v>
      </c>
      <c r="C2" s="44"/>
      <c r="D2" s="44"/>
      <c r="E2" s="44"/>
      <c r="F2" s="44"/>
      <c r="G2" s="44"/>
      <c r="H2" s="44"/>
      <c r="I2" s="44"/>
      <c r="J2" s="44"/>
      <c r="K2" s="44"/>
      <c r="L2" s="49"/>
      <c r="M2" s="49"/>
    </row>
    <row r="3" spans="2:13" ht="20.399999999999999" x14ac:dyDescent="0.35">
      <c r="C3" s="28" t="s">
        <v>1</v>
      </c>
    </row>
    <row r="4" spans="2:13" ht="15.6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3" s="48" customFormat="1" ht="15.6" x14ac:dyDescent="0.3">
      <c r="B5" s="8"/>
      <c r="C5" s="8"/>
      <c r="D5" s="8"/>
      <c r="E5" s="8"/>
      <c r="F5" s="8"/>
      <c r="G5" s="8" t="s">
        <v>6</v>
      </c>
      <c r="H5" s="8"/>
      <c r="I5" s="6">
        <f t="shared" ref="I5:L5" si="0">H6+1</f>
        <v>46023</v>
      </c>
      <c r="J5" s="6">
        <f t="shared" si="0"/>
        <v>46388</v>
      </c>
      <c r="K5" s="6">
        <f t="shared" si="0"/>
        <v>46753</v>
      </c>
      <c r="L5" s="6">
        <f t="shared" si="0"/>
        <v>47119</v>
      </c>
    </row>
    <row r="6" spans="2:13" s="48" customFormat="1" ht="15.6" x14ac:dyDescent="0.3">
      <c r="B6" s="8"/>
      <c r="C6" s="8"/>
      <c r="D6" s="8"/>
      <c r="E6" s="8"/>
      <c r="F6" s="8"/>
      <c r="G6" s="8" t="s">
        <v>7</v>
      </c>
      <c r="H6" s="6">
        <f>Guide!E30-1</f>
        <v>46022</v>
      </c>
      <c r="I6" s="6">
        <f t="shared" ref="I6:L6" si="1">EDATE(H6,12)</f>
        <v>46387</v>
      </c>
      <c r="J6" s="6">
        <f t="shared" si="1"/>
        <v>46752</v>
      </c>
      <c r="K6" s="6">
        <f t="shared" si="1"/>
        <v>47118</v>
      </c>
      <c r="L6" s="6">
        <f t="shared" si="1"/>
        <v>47483</v>
      </c>
    </row>
    <row r="7" spans="2:13" s="48" customFormat="1" ht="15.6" x14ac:dyDescent="0.3">
      <c r="B7" s="8"/>
      <c r="C7" s="8"/>
      <c r="D7" s="8"/>
      <c r="E7" s="8"/>
      <c r="F7" s="8"/>
      <c r="G7" s="8"/>
      <c r="H7" s="8"/>
      <c r="I7" s="50">
        <f t="shared" ref="I7:L7" si="2">YEAR(I6)</f>
        <v>2026</v>
      </c>
      <c r="J7" s="50">
        <f t="shared" si="2"/>
        <v>2027</v>
      </c>
      <c r="K7" s="50">
        <f t="shared" si="2"/>
        <v>2028</v>
      </c>
      <c r="L7" s="50">
        <f t="shared" si="2"/>
        <v>2029</v>
      </c>
    </row>
    <row r="8" spans="2:13" s="45" customFormat="1" ht="13.8" x14ac:dyDescent="0.25">
      <c r="D8" s="45" t="s">
        <v>2</v>
      </c>
      <c r="E8" s="45" t="s">
        <v>18</v>
      </c>
      <c r="F8" s="45" t="s">
        <v>19</v>
      </c>
      <c r="H8" s="45" t="s">
        <v>3</v>
      </c>
      <c r="I8" s="46" t="s">
        <v>5</v>
      </c>
      <c r="J8" s="46" t="s">
        <v>5</v>
      </c>
      <c r="K8" s="46" t="s">
        <v>5</v>
      </c>
      <c r="L8" s="46" t="s">
        <v>5</v>
      </c>
    </row>
    <row r="9" spans="2:13" ht="15.6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3" ht="15.6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3" ht="16.2" thickBot="1" x14ac:dyDescent="0.35">
      <c r="B11" s="24" t="s">
        <v>22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2:13" ht="16.8" thickTop="1" thickBot="1" x14ac:dyDescent="0.35">
      <c r="B12" s="8"/>
      <c r="C12" s="27" t="s">
        <v>26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</row>
    <row r="13" spans="2:13" ht="16.2" thickTop="1" x14ac:dyDescent="0.3">
      <c r="B13" s="8"/>
      <c r="C13" s="8"/>
      <c r="D13" s="47" t="s">
        <v>27</v>
      </c>
      <c r="E13" s="1"/>
      <c r="F13" s="1"/>
      <c r="G13" s="1"/>
      <c r="H13" s="1"/>
      <c r="I13" s="1"/>
      <c r="J13" s="1"/>
      <c r="K13" s="1"/>
      <c r="L13" s="1"/>
    </row>
    <row r="14" spans="2:13" ht="15.6" x14ac:dyDescent="0.3">
      <c r="B14" s="1"/>
      <c r="C14" s="1"/>
      <c r="D14" s="1" t="s">
        <v>9</v>
      </c>
      <c r="E14" s="1"/>
      <c r="F14" s="1"/>
      <c r="G14" s="1"/>
      <c r="H14" s="1"/>
      <c r="I14" s="1">
        <v>1</v>
      </c>
      <c r="J14" s="1">
        <v>2</v>
      </c>
      <c r="K14" s="1">
        <v>3</v>
      </c>
      <c r="L14" s="1">
        <v>4</v>
      </c>
    </row>
    <row r="15" spans="2:13" ht="15.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3" ht="15.6" x14ac:dyDescent="0.3">
      <c r="B16" s="1"/>
      <c r="C16" s="1"/>
      <c r="D16" s="47" t="s">
        <v>30</v>
      </c>
      <c r="E16" s="1"/>
      <c r="F16" s="1"/>
      <c r="G16" s="1"/>
      <c r="H16" s="1"/>
      <c r="I16" s="1"/>
      <c r="J16" s="1"/>
      <c r="K16" s="1"/>
      <c r="L16" s="1"/>
    </row>
    <row r="17" spans="1:13" ht="15.6" x14ac:dyDescent="0.3">
      <c r="A17" s="5"/>
      <c r="B17" s="1"/>
      <c r="C17" s="1"/>
      <c r="D17" s="1" t="s">
        <v>12</v>
      </c>
      <c r="E17" s="1" t="s">
        <v>31</v>
      </c>
      <c r="F17" s="1"/>
      <c r="G17" s="1"/>
      <c r="H17" s="1"/>
      <c r="I17" s="51">
        <v>0</v>
      </c>
      <c r="J17" s="51">
        <v>0.25</v>
      </c>
      <c r="K17" s="51">
        <v>0.25</v>
      </c>
      <c r="L17" s="51">
        <v>0.25</v>
      </c>
    </row>
    <row r="18" spans="1:13" ht="15.6" x14ac:dyDescent="0.3">
      <c r="A18" s="5"/>
      <c r="B18" s="1"/>
      <c r="C18" s="1"/>
      <c r="D18" s="1" t="s">
        <v>24</v>
      </c>
      <c r="E18" s="1" t="s">
        <v>34</v>
      </c>
      <c r="F18" s="1"/>
      <c r="G18" s="1"/>
      <c r="H18" s="1"/>
      <c r="I18" s="51">
        <v>0.2096098713776538</v>
      </c>
      <c r="J18" s="51">
        <v>0.45</v>
      </c>
      <c r="K18" s="51">
        <v>0.45</v>
      </c>
      <c r="L18" s="51">
        <v>0.45</v>
      </c>
    </row>
    <row r="19" spans="1:13" ht="15.6" x14ac:dyDescent="0.3">
      <c r="A19" s="5"/>
      <c r="B19" s="1"/>
      <c r="C19" s="1"/>
      <c r="D19" s="1" t="s">
        <v>36</v>
      </c>
      <c r="E19" s="1" t="s">
        <v>37</v>
      </c>
      <c r="F19" s="1"/>
      <c r="G19" s="1"/>
      <c r="H19" s="1"/>
      <c r="I19" s="51">
        <v>0.2</v>
      </c>
      <c r="J19" s="51">
        <v>0.2</v>
      </c>
      <c r="K19" s="51">
        <v>0.2</v>
      </c>
      <c r="L19" s="51">
        <v>0.2</v>
      </c>
    </row>
    <row r="20" spans="1:13" ht="15.6" x14ac:dyDescent="0.3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3" ht="16.2" thickBot="1" x14ac:dyDescent="0.35">
      <c r="A21" s="5"/>
      <c r="B21" s="24" t="s">
        <v>39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3" ht="16.2" thickTop="1" x14ac:dyDescent="0.3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3" ht="16.2" thickBot="1" x14ac:dyDescent="0.35">
      <c r="A23" s="18">
        <v>1</v>
      </c>
      <c r="B23" s="8"/>
      <c r="C23" s="27" t="s">
        <v>40</v>
      </c>
      <c r="D23" s="27"/>
      <c r="E23" s="27"/>
      <c r="F23" s="27"/>
      <c r="G23" s="27"/>
      <c r="H23" s="27"/>
      <c r="I23" s="52"/>
      <c r="J23" s="52"/>
      <c r="K23" s="52"/>
      <c r="L23" s="52"/>
      <c r="M23" s="27"/>
    </row>
    <row r="24" spans="1:13" ht="16.2" thickTop="1" x14ac:dyDescent="0.3">
      <c r="A24" s="5"/>
      <c r="B24" s="1"/>
      <c r="C24" s="1"/>
      <c r="D24" s="1"/>
      <c r="E24" s="1"/>
      <c r="F24" s="1"/>
      <c r="G24" s="1"/>
      <c r="H24" s="1"/>
      <c r="I24" s="12"/>
      <c r="J24" s="12"/>
      <c r="K24" s="12"/>
      <c r="L24" s="12"/>
    </row>
    <row r="25" spans="1:13" ht="15.6" x14ac:dyDescent="0.3">
      <c r="A25" s="5"/>
      <c r="B25" s="1"/>
      <c r="C25" s="1"/>
      <c r="D25" s="8" t="s">
        <v>43</v>
      </c>
      <c r="E25" s="1"/>
      <c r="F25" s="1"/>
      <c r="G25" s="1"/>
      <c r="H25" s="1"/>
      <c r="I25" s="12"/>
      <c r="J25" s="12"/>
      <c r="K25" s="12"/>
      <c r="L25" s="12"/>
    </row>
    <row r="26" spans="1:13" ht="15.6" x14ac:dyDescent="0.3">
      <c r="A26" s="5"/>
      <c r="B26" s="1"/>
      <c r="C26" s="1"/>
      <c r="D26" s="1" t="s">
        <v>46</v>
      </c>
      <c r="E26" s="1" t="str">
        <f>_xlfn.UNICHAR(8358)</f>
        <v>₦</v>
      </c>
      <c r="F26" s="1"/>
      <c r="G26" s="1"/>
      <c r="H26" s="1"/>
      <c r="I26" s="53">
        <v>3000</v>
      </c>
      <c r="J26" s="54">
        <f t="shared" ref="J26:L26" si="3">I26*(1+J17)</f>
        <v>3750</v>
      </c>
      <c r="K26" s="54">
        <f t="shared" si="3"/>
        <v>4687.5</v>
      </c>
      <c r="L26" s="54">
        <f t="shared" si="3"/>
        <v>5859.375</v>
      </c>
    </row>
    <row r="27" spans="1:13" ht="15.6" x14ac:dyDescent="0.3">
      <c r="A27" s="5"/>
      <c r="B27" s="1"/>
      <c r="C27" s="1"/>
      <c r="D27" s="1" t="s">
        <v>49</v>
      </c>
      <c r="E27" s="1" t="s">
        <v>51</v>
      </c>
      <c r="F27" s="1"/>
      <c r="G27" s="1"/>
      <c r="H27" s="1"/>
      <c r="I27" s="55">
        <f>105*45*4*12</f>
        <v>226800</v>
      </c>
      <c r="J27" s="3"/>
      <c r="K27" s="3"/>
      <c r="L27" s="3"/>
    </row>
    <row r="28" spans="1:13" ht="16.2" thickBot="1" x14ac:dyDescent="0.35">
      <c r="A28" s="5"/>
      <c r="B28" s="1"/>
      <c r="C28" s="1"/>
      <c r="D28" s="30" t="s">
        <v>53</v>
      </c>
      <c r="E28" s="30" t="str">
        <f>_xlfn.UNICHAR(8358)</f>
        <v>₦</v>
      </c>
      <c r="F28" s="30"/>
      <c r="G28" s="30"/>
      <c r="H28" s="30"/>
      <c r="I28" s="30">
        <f t="shared" ref="I28:L28" si="4">I26*$I$27</f>
        <v>680400000</v>
      </c>
      <c r="J28" s="30">
        <f t="shared" si="4"/>
        <v>850500000</v>
      </c>
      <c r="K28" s="30">
        <f t="shared" si="4"/>
        <v>1063125000</v>
      </c>
      <c r="L28" s="30">
        <f t="shared" si="4"/>
        <v>1328906250</v>
      </c>
      <c r="M28" s="30"/>
    </row>
    <row r="29" spans="1:13" ht="16.2" thickTop="1" x14ac:dyDescent="0.3">
      <c r="A29" s="5"/>
      <c r="B29" s="1"/>
      <c r="C29" s="1"/>
      <c r="D29" s="1"/>
      <c r="E29" s="1"/>
      <c r="F29" s="1"/>
      <c r="G29" s="1"/>
      <c r="H29" s="1"/>
      <c r="I29" s="12"/>
      <c r="J29" s="12"/>
      <c r="K29" s="12"/>
      <c r="L29" s="12"/>
    </row>
    <row r="30" spans="1:13" ht="15.6" x14ac:dyDescent="0.3">
      <c r="A30" s="5"/>
      <c r="B30" s="1"/>
      <c r="C30" s="1"/>
      <c r="D30" s="8" t="s">
        <v>57</v>
      </c>
      <c r="E30" s="1"/>
      <c r="F30" s="1"/>
      <c r="G30" s="1"/>
      <c r="H30" s="1"/>
      <c r="I30" s="12"/>
      <c r="J30" s="12"/>
      <c r="K30" s="12"/>
      <c r="L30" s="12"/>
    </row>
    <row r="31" spans="1:13" ht="15.6" x14ac:dyDescent="0.3">
      <c r="A31" s="5"/>
      <c r="B31" s="1"/>
      <c r="C31" s="1"/>
      <c r="D31" s="1" t="s">
        <v>59</v>
      </c>
      <c r="E31" s="1" t="s">
        <v>60</v>
      </c>
      <c r="F31" s="1"/>
      <c r="G31" s="1"/>
      <c r="H31" s="1"/>
      <c r="I31" s="54">
        <f>80*45*4*12</f>
        <v>172800</v>
      </c>
      <c r="J31" s="12"/>
      <c r="K31" s="12"/>
      <c r="L31" s="12"/>
    </row>
    <row r="32" spans="1:13" ht="15.6" x14ac:dyDescent="0.3">
      <c r="A32" s="5"/>
      <c r="B32" s="1"/>
      <c r="C32" s="1"/>
      <c r="D32" s="1" t="s">
        <v>46</v>
      </c>
      <c r="E32" s="1" t="str">
        <f>Currency</f>
        <v>₦</v>
      </c>
      <c r="F32" s="1"/>
      <c r="G32" s="1"/>
      <c r="H32" s="1"/>
      <c r="I32" s="53">
        <v>11000</v>
      </c>
      <c r="J32" s="54">
        <f t="shared" ref="J32:L32" si="5">I32*(1+J17)</f>
        <v>13750</v>
      </c>
      <c r="K32" s="54">
        <f t="shared" si="5"/>
        <v>17187.5</v>
      </c>
      <c r="L32" s="54">
        <f t="shared" si="5"/>
        <v>21484.375</v>
      </c>
    </row>
    <row r="33" spans="1:13" ht="16.2" thickBot="1" x14ac:dyDescent="0.35">
      <c r="A33" s="5"/>
      <c r="B33" s="1"/>
      <c r="C33" s="1"/>
      <c r="D33" s="30" t="s">
        <v>53</v>
      </c>
      <c r="E33" s="30" t="str">
        <f>Currency</f>
        <v>₦</v>
      </c>
      <c r="F33" s="30"/>
      <c r="G33" s="30"/>
      <c r="H33" s="30"/>
      <c r="I33" s="30">
        <f t="shared" ref="I33:L33" si="6">$I$31*I32</f>
        <v>1900800000</v>
      </c>
      <c r="J33" s="30">
        <f t="shared" si="6"/>
        <v>2376000000</v>
      </c>
      <c r="K33" s="30">
        <f t="shared" si="6"/>
        <v>2970000000</v>
      </c>
      <c r="L33" s="30">
        <f t="shared" si="6"/>
        <v>3712500000</v>
      </c>
      <c r="M33" s="30"/>
    </row>
    <row r="34" spans="1:13" ht="16.2" thickTop="1" x14ac:dyDescent="0.3">
      <c r="A34" s="5"/>
      <c r="B34" s="1"/>
      <c r="C34" s="1"/>
      <c r="D34" s="1"/>
      <c r="E34" s="1"/>
      <c r="F34" s="1"/>
      <c r="G34" s="1"/>
      <c r="H34" s="1"/>
      <c r="I34" s="12"/>
      <c r="J34" s="12"/>
      <c r="K34" s="12"/>
      <c r="L34" s="12"/>
    </row>
    <row r="35" spans="1:13" ht="16.2" thickBot="1" x14ac:dyDescent="0.35">
      <c r="A35" s="18"/>
      <c r="B35" s="8"/>
      <c r="C35" s="8"/>
      <c r="D35" s="30" t="s">
        <v>64</v>
      </c>
      <c r="E35" s="30" t="str">
        <f>Currency</f>
        <v>₦</v>
      </c>
      <c r="F35" s="30"/>
      <c r="G35" s="30"/>
      <c r="H35" s="30">
        <v>243600643</v>
      </c>
      <c r="I35" s="30">
        <f t="shared" ref="I35:L35" si="7">SUM(I33,I28)</f>
        <v>2581200000</v>
      </c>
      <c r="J35" s="30">
        <f t="shared" si="7"/>
        <v>3226500000</v>
      </c>
      <c r="K35" s="30">
        <f t="shared" si="7"/>
        <v>4033125000</v>
      </c>
      <c r="L35" s="30">
        <f t="shared" si="7"/>
        <v>5041406250</v>
      </c>
      <c r="M35" s="30"/>
    </row>
    <row r="36" spans="1:13" ht="16.2" thickTop="1" x14ac:dyDescent="0.3">
      <c r="A36" s="5"/>
      <c r="B36" s="1"/>
      <c r="C36" s="1"/>
      <c r="D36" s="1"/>
      <c r="E36" s="1"/>
      <c r="F36" s="1"/>
      <c r="G36" s="1"/>
      <c r="H36" s="1"/>
      <c r="I36" s="12"/>
      <c r="J36" s="12"/>
      <c r="K36" s="12"/>
      <c r="L36" s="12"/>
    </row>
    <row r="37" spans="1:13" ht="16.2" thickBot="1" x14ac:dyDescent="0.35">
      <c r="A37" s="18">
        <v>2</v>
      </c>
      <c r="B37" s="8"/>
      <c r="C37" s="27" t="s">
        <v>66</v>
      </c>
      <c r="D37" s="27"/>
      <c r="E37" s="27"/>
      <c r="F37" s="27"/>
      <c r="G37" s="27"/>
      <c r="H37" s="27"/>
      <c r="I37" s="52"/>
      <c r="J37" s="52"/>
      <c r="K37" s="52"/>
      <c r="L37" s="52"/>
      <c r="M37" s="27"/>
    </row>
    <row r="38" spans="1:13" ht="16.2" thickTop="1" x14ac:dyDescent="0.3">
      <c r="A38" s="5"/>
      <c r="B38" s="1"/>
      <c r="C38" s="1"/>
      <c r="D38" s="1"/>
      <c r="E38" s="1"/>
      <c r="F38" s="1"/>
      <c r="G38" s="1"/>
      <c r="H38" s="1"/>
      <c r="I38" s="12"/>
      <c r="J38" s="12"/>
      <c r="K38" s="12"/>
      <c r="L38" s="12"/>
    </row>
    <row r="39" spans="1:13" ht="15.6" x14ac:dyDescent="0.3">
      <c r="A39" s="5"/>
      <c r="B39" s="1"/>
      <c r="C39" s="1"/>
      <c r="D39" s="47" t="s">
        <v>68</v>
      </c>
      <c r="E39" s="1"/>
      <c r="F39" s="1"/>
      <c r="G39" s="1"/>
      <c r="H39" s="1"/>
      <c r="I39" s="12"/>
      <c r="J39" s="12"/>
      <c r="K39" s="12"/>
      <c r="L39" s="12"/>
    </row>
    <row r="40" spans="1:13" ht="15.6" x14ac:dyDescent="0.3">
      <c r="A40" s="5"/>
      <c r="B40" s="1"/>
      <c r="C40" s="1"/>
      <c r="D40" s="1" t="s">
        <v>69</v>
      </c>
      <c r="E40" s="1"/>
      <c r="F40" s="1"/>
      <c r="G40" s="1"/>
      <c r="H40" s="1"/>
      <c r="I40" s="1"/>
      <c r="J40" s="12"/>
      <c r="K40" s="12"/>
      <c r="L40" s="12"/>
    </row>
    <row r="41" spans="1:13" ht="15.6" x14ac:dyDescent="0.3">
      <c r="A41" s="5"/>
      <c r="B41" s="1"/>
      <c r="C41" s="1"/>
      <c r="D41" s="1" t="s">
        <v>70</v>
      </c>
      <c r="E41" s="1" t="str">
        <f>Currency</f>
        <v>₦</v>
      </c>
      <c r="F41" s="1"/>
      <c r="G41" s="1"/>
      <c r="H41" s="1"/>
      <c r="I41" s="3">
        <v>1000</v>
      </c>
      <c r="J41" s="12"/>
      <c r="K41" s="12"/>
      <c r="L41" s="12"/>
    </row>
    <row r="42" spans="1:13" ht="15.6" x14ac:dyDescent="0.3">
      <c r="A42" s="5"/>
      <c r="B42" s="1"/>
      <c r="C42" s="1"/>
      <c r="D42" s="1" t="s">
        <v>71</v>
      </c>
      <c r="E42" s="1"/>
      <c r="F42" s="1"/>
      <c r="G42" s="1"/>
      <c r="H42" s="1"/>
      <c r="I42" s="3">
        <v>400</v>
      </c>
      <c r="J42" s="3"/>
      <c r="K42" s="12"/>
      <c r="L42" s="12"/>
    </row>
    <row r="43" spans="1:13" ht="15.6" x14ac:dyDescent="0.3">
      <c r="A43" s="5"/>
      <c r="B43" s="1"/>
      <c r="C43" s="1"/>
      <c r="D43" s="1"/>
      <c r="E43" s="1"/>
      <c r="F43" s="1"/>
      <c r="G43" s="1"/>
      <c r="H43" s="1"/>
      <c r="I43" s="3">
        <f>I41*I42</f>
        <v>400000</v>
      </c>
      <c r="J43" s="3"/>
      <c r="K43" s="3"/>
      <c r="L43" s="3"/>
    </row>
    <row r="44" spans="1:13" ht="15.6" x14ac:dyDescent="0.3">
      <c r="A44" s="5"/>
      <c r="B44" s="1"/>
      <c r="C44" s="1"/>
      <c r="D44" s="1" t="s">
        <v>72</v>
      </c>
      <c r="E44" s="1"/>
      <c r="F44" s="1"/>
      <c r="G44" s="1"/>
      <c r="H44" s="1"/>
      <c r="I44" s="3">
        <v>365</v>
      </c>
      <c r="J44" s="3"/>
      <c r="K44" s="12"/>
      <c r="L44" s="12"/>
    </row>
    <row r="45" spans="1:13" ht="16.2" thickBot="1" x14ac:dyDescent="0.35">
      <c r="A45" s="18"/>
      <c r="B45" s="8"/>
      <c r="C45" s="8"/>
      <c r="D45" s="30" t="s">
        <v>73</v>
      </c>
      <c r="E45" s="30" t="str">
        <f>Currency</f>
        <v>₦</v>
      </c>
      <c r="F45" s="30"/>
      <c r="G45" s="30"/>
      <c r="H45" s="30"/>
      <c r="I45" s="30">
        <f>I43*I44</f>
        <v>146000000</v>
      </c>
      <c r="J45" s="14"/>
      <c r="K45" s="14"/>
      <c r="L45" s="14"/>
    </row>
    <row r="46" spans="1:13" ht="16.2" thickTop="1" x14ac:dyDescent="0.3">
      <c r="A46" s="5"/>
      <c r="B46" s="1"/>
      <c r="C46" s="1"/>
      <c r="D46" s="1"/>
      <c r="E46" s="1"/>
      <c r="F46" s="1"/>
      <c r="G46" s="1"/>
      <c r="H46" s="1"/>
      <c r="I46" s="12"/>
      <c r="J46" s="12"/>
      <c r="K46" s="12"/>
      <c r="L46" s="12"/>
    </row>
    <row r="47" spans="1:13" ht="15.6" x14ac:dyDescent="0.3">
      <c r="A47" s="5"/>
      <c r="B47" s="1"/>
      <c r="C47" s="1"/>
      <c r="D47" s="1" t="s">
        <v>74</v>
      </c>
      <c r="E47" s="1"/>
      <c r="F47" s="1"/>
      <c r="G47" s="1"/>
      <c r="H47" s="1"/>
      <c r="I47" s="12"/>
      <c r="J47" s="12"/>
      <c r="K47" s="12"/>
      <c r="L47" s="12"/>
    </row>
    <row r="48" spans="1:13" ht="15.6" x14ac:dyDescent="0.3">
      <c r="A48" s="5"/>
      <c r="B48" s="1"/>
      <c r="C48" s="1"/>
      <c r="D48" s="1" t="s">
        <v>76</v>
      </c>
      <c r="E48" s="1"/>
      <c r="F48" s="1"/>
      <c r="G48" s="1"/>
      <c r="H48" s="1"/>
      <c r="I48" s="3">
        <v>14000</v>
      </c>
      <c r="J48" s="12"/>
      <c r="K48" s="12"/>
      <c r="L48" s="12"/>
    </row>
    <row r="49" spans="4:9" ht="15.6" x14ac:dyDescent="0.3">
      <c r="D49" s="1" t="s">
        <v>78</v>
      </c>
      <c r="E49" s="1"/>
      <c r="F49" s="1"/>
      <c r="G49" s="1"/>
      <c r="H49" s="1"/>
      <c r="I49" s="3">
        <v>365</v>
      </c>
    </row>
    <row r="50" spans="4:9" ht="16.2" thickBot="1" x14ac:dyDescent="0.35">
      <c r="D50" s="30" t="s">
        <v>73</v>
      </c>
      <c r="E50" s="30"/>
      <c r="F50" s="30"/>
      <c r="G50" s="30"/>
      <c r="H50" s="30"/>
      <c r="I50" s="30">
        <f>I48*I49</f>
        <v>5110000</v>
      </c>
    </row>
    <row r="51" spans="4:9" ht="16.2" thickTop="1" x14ac:dyDescent="0.3">
      <c r="D51" s="1"/>
      <c r="E51" s="1"/>
      <c r="F51" s="1"/>
      <c r="G51" s="1"/>
      <c r="H51" s="1"/>
      <c r="I51" s="12"/>
    </row>
    <row r="52" spans="4:9" ht="15.6" x14ac:dyDescent="0.3">
      <c r="D52" s="1" t="s">
        <v>79</v>
      </c>
      <c r="E52" s="1"/>
      <c r="F52" s="1"/>
      <c r="G52" s="1"/>
      <c r="H52" s="1"/>
      <c r="I52" s="12"/>
    </row>
    <row r="53" spans="4:9" ht="15.6" x14ac:dyDescent="0.3">
      <c r="D53" s="1" t="s">
        <v>80</v>
      </c>
      <c r="E53" s="1"/>
      <c r="F53" s="1"/>
      <c r="G53" s="1"/>
      <c r="H53" s="1"/>
      <c r="I53" s="3">
        <v>30000</v>
      </c>
    </row>
    <row r="54" spans="4:9" ht="15.6" x14ac:dyDescent="0.3">
      <c r="D54" s="1" t="s">
        <v>78</v>
      </c>
      <c r="E54" s="1"/>
      <c r="F54" s="1"/>
      <c r="G54" s="1"/>
      <c r="H54" s="1"/>
      <c r="I54" s="3">
        <v>365</v>
      </c>
    </row>
    <row r="55" spans="4:9" ht="16.2" thickBot="1" x14ac:dyDescent="0.35">
      <c r="D55" s="30" t="s">
        <v>81</v>
      </c>
      <c r="E55" s="30"/>
      <c r="F55" s="30"/>
      <c r="G55" s="30"/>
      <c r="H55" s="30"/>
      <c r="I55" s="30">
        <f>I53*I54</f>
        <v>10950000</v>
      </c>
    </row>
    <row r="56" spans="4:9" ht="16.2" thickTop="1" x14ac:dyDescent="0.3">
      <c r="D56" s="1"/>
      <c r="E56" s="1"/>
      <c r="F56" s="1"/>
      <c r="G56" s="1"/>
      <c r="H56" s="1"/>
      <c r="I56" s="12"/>
    </row>
    <row r="57" spans="4:9" ht="15.6" x14ac:dyDescent="0.3">
      <c r="D57" s="1" t="s">
        <v>82</v>
      </c>
      <c r="E57" s="1"/>
      <c r="F57" s="1"/>
      <c r="G57" s="1"/>
      <c r="H57" s="1"/>
      <c r="I57" s="12"/>
    </row>
    <row r="58" spans="4:9" ht="15.6" x14ac:dyDescent="0.3">
      <c r="D58" s="1" t="s">
        <v>70</v>
      </c>
      <c r="E58" s="1"/>
      <c r="F58" s="1"/>
      <c r="G58" s="1"/>
      <c r="H58" s="1"/>
      <c r="I58" s="3">
        <v>1000</v>
      </c>
    </row>
    <row r="59" spans="4:9" ht="15.6" x14ac:dyDescent="0.3">
      <c r="D59" s="1" t="s">
        <v>71</v>
      </c>
      <c r="E59" s="1"/>
      <c r="F59" s="1"/>
      <c r="G59" s="1"/>
      <c r="H59" s="1"/>
      <c r="I59" s="3">
        <v>400</v>
      </c>
    </row>
    <row r="60" spans="4:9" ht="15.6" x14ac:dyDescent="0.3">
      <c r="D60" s="1"/>
      <c r="E60" s="1"/>
      <c r="F60" s="1"/>
      <c r="G60" s="1"/>
      <c r="H60" s="1"/>
      <c r="I60" s="3">
        <f>I58*I59</f>
        <v>400000</v>
      </c>
    </row>
    <row r="61" spans="4:9" ht="15.6" x14ac:dyDescent="0.3">
      <c r="D61" s="1" t="s">
        <v>72</v>
      </c>
      <c r="E61" s="1"/>
      <c r="F61" s="1"/>
      <c r="G61" s="1"/>
      <c r="H61" s="1"/>
      <c r="I61" s="3">
        <v>365</v>
      </c>
    </row>
    <row r="62" spans="4:9" ht="16.2" thickBot="1" x14ac:dyDescent="0.35">
      <c r="D62" s="30" t="s">
        <v>73</v>
      </c>
      <c r="E62" s="30"/>
      <c r="F62" s="30"/>
      <c r="G62" s="30"/>
      <c r="H62" s="30"/>
      <c r="I62" s="30">
        <f>I60*I61</f>
        <v>146000000</v>
      </c>
    </row>
    <row r="63" spans="4:9" ht="16.2" thickTop="1" x14ac:dyDescent="0.3">
      <c r="D63" s="1"/>
      <c r="E63" s="1"/>
      <c r="F63" s="1"/>
      <c r="G63" s="1"/>
      <c r="H63" s="1"/>
      <c r="I63" s="12"/>
    </row>
    <row r="64" spans="4:9" ht="16.2" thickBot="1" x14ac:dyDescent="0.35">
      <c r="D64" s="30" t="s">
        <v>83</v>
      </c>
      <c r="E64" s="30"/>
      <c r="F64" s="30"/>
      <c r="G64" s="30"/>
      <c r="H64" s="30"/>
      <c r="I64" s="30">
        <f>SUM(I45,I50,I55,I62)</f>
        <v>308060000</v>
      </c>
    </row>
    <row r="65" spans="1:13" ht="14.4" thickTop="1" x14ac:dyDescent="0.25"/>
    <row r="66" spans="1:13" ht="15.6" x14ac:dyDescent="0.3">
      <c r="A66" s="5"/>
      <c r="B66" s="1"/>
      <c r="C66" s="1"/>
      <c r="D66" s="47" t="s">
        <v>84</v>
      </c>
      <c r="E66" s="1"/>
      <c r="F66" s="1"/>
      <c r="G66" s="1"/>
      <c r="H66" s="1"/>
      <c r="I66" s="12"/>
      <c r="J66" s="12"/>
      <c r="K66" s="12"/>
      <c r="L66" s="12"/>
    </row>
    <row r="67" spans="1:13" ht="15.6" x14ac:dyDescent="0.3">
      <c r="A67" s="5"/>
      <c r="B67" s="1"/>
      <c r="C67" s="1"/>
      <c r="D67" s="1" t="s">
        <v>85</v>
      </c>
      <c r="E67" s="1"/>
      <c r="F67" s="1"/>
      <c r="G67" s="1"/>
      <c r="H67" s="1"/>
      <c r="I67" s="3">
        <v>223860000</v>
      </c>
      <c r="J67" s="12"/>
      <c r="K67" s="12"/>
      <c r="L67" s="12"/>
    </row>
    <row r="68" spans="1:13" ht="15.6" x14ac:dyDescent="0.3">
      <c r="A68" s="5"/>
      <c r="B68" s="1"/>
      <c r="C68" s="1"/>
      <c r="D68" s="1" t="s">
        <v>86</v>
      </c>
      <c r="E68" s="1"/>
      <c r="F68" s="1"/>
      <c r="G68" s="1"/>
      <c r="H68" s="1"/>
      <c r="I68" s="3">
        <v>9125000</v>
      </c>
      <c r="J68" s="12"/>
      <c r="K68" s="12"/>
      <c r="L68" s="12"/>
    </row>
    <row r="69" spans="1:13" ht="16.2" thickBot="1" x14ac:dyDescent="0.35">
      <c r="A69" s="18"/>
      <c r="B69" s="8"/>
      <c r="C69" s="8"/>
      <c r="D69" s="30" t="s">
        <v>73</v>
      </c>
      <c r="E69" s="30"/>
      <c r="F69" s="30"/>
      <c r="G69" s="30"/>
      <c r="H69" s="30"/>
      <c r="I69" s="30">
        <f>SUM(I67:I68)</f>
        <v>232985000</v>
      </c>
      <c r="J69" s="40"/>
      <c r="K69" s="40"/>
      <c r="L69" s="40"/>
    </row>
    <row r="70" spans="1:13" ht="16.2" thickTop="1" x14ac:dyDescent="0.3">
      <c r="A70" s="5"/>
      <c r="B70" s="1"/>
      <c r="C70" s="1"/>
      <c r="D70" s="1"/>
      <c r="E70" s="1"/>
      <c r="F70" s="1"/>
      <c r="G70" s="1"/>
      <c r="H70" s="12"/>
      <c r="I70" s="1"/>
      <c r="J70" s="12"/>
      <c r="K70" s="12"/>
      <c r="L70" s="12"/>
    </row>
    <row r="71" spans="1:13" ht="16.2" thickBot="1" x14ac:dyDescent="0.35">
      <c r="A71" s="18"/>
      <c r="B71" s="8"/>
      <c r="C71" s="8"/>
      <c r="D71" s="30" t="s">
        <v>87</v>
      </c>
      <c r="E71" s="30"/>
      <c r="F71" s="30"/>
      <c r="G71" s="30"/>
      <c r="H71" s="30">
        <v>166139946</v>
      </c>
      <c r="I71" s="30">
        <f>SUM(I64,I69)</f>
        <v>541045000</v>
      </c>
      <c r="J71" s="30">
        <f t="shared" ref="J71:L71" si="8">J35*J18</f>
        <v>1451925000</v>
      </c>
      <c r="K71" s="30">
        <f t="shared" si="8"/>
        <v>1814906250</v>
      </c>
      <c r="L71" s="30">
        <f t="shared" si="8"/>
        <v>2268632812.5</v>
      </c>
      <c r="M71" s="30"/>
    </row>
    <row r="72" spans="1:13" ht="16.8" thickTop="1" thickBot="1" x14ac:dyDescent="0.35">
      <c r="A72" s="5"/>
      <c r="B72" s="1"/>
      <c r="C72" s="1"/>
      <c r="D72" s="1"/>
      <c r="E72" s="1"/>
      <c r="F72" s="1"/>
      <c r="G72" s="1"/>
      <c r="H72" s="1"/>
      <c r="I72" s="12"/>
      <c r="J72" s="16"/>
      <c r="K72" s="12"/>
      <c r="L72" s="12"/>
    </row>
    <row r="73" spans="1:13" ht="16.2" thickBot="1" x14ac:dyDescent="0.35">
      <c r="A73" s="18">
        <v>3</v>
      </c>
      <c r="B73" s="8"/>
      <c r="C73" s="8"/>
      <c r="D73" s="27" t="s">
        <v>88</v>
      </c>
      <c r="E73" s="1" t="s">
        <v>89</v>
      </c>
      <c r="F73" s="1"/>
      <c r="G73" s="1"/>
      <c r="H73" s="66">
        <v>25131571</v>
      </c>
      <c r="I73" s="67">
        <f>I19</f>
        <v>0.2</v>
      </c>
      <c r="J73" s="67">
        <f t="shared" ref="J73:L73" si="9">J19</f>
        <v>0.2</v>
      </c>
      <c r="K73" s="67">
        <f t="shared" si="9"/>
        <v>0.2</v>
      </c>
      <c r="L73" s="67">
        <f t="shared" si="9"/>
        <v>0.2</v>
      </c>
    </row>
    <row r="74" spans="1:13" ht="16.2" thickTop="1" x14ac:dyDescent="0.3">
      <c r="A74" s="5"/>
      <c r="B74" s="1"/>
      <c r="C74" s="1"/>
      <c r="D74" s="1"/>
      <c r="E74" s="1"/>
      <c r="F74" s="1"/>
      <c r="G74" s="1"/>
      <c r="H74" s="1"/>
      <c r="I74" s="12"/>
      <c r="J74" s="16"/>
      <c r="K74" s="12"/>
      <c r="L74" s="12"/>
    </row>
    <row r="75" spans="1:13" ht="15.6" x14ac:dyDescent="0.3">
      <c r="A75" s="5"/>
      <c r="B75" s="1"/>
      <c r="C75" s="1"/>
      <c r="D75" s="1"/>
      <c r="E75" s="1"/>
      <c r="F75" s="1"/>
      <c r="G75" s="1"/>
      <c r="H75" s="1"/>
      <c r="I75" s="12"/>
      <c r="J75" s="16"/>
      <c r="K75" s="12"/>
      <c r="L75" s="12"/>
    </row>
    <row r="76" spans="1:13" ht="16.2" thickBot="1" x14ac:dyDescent="0.35">
      <c r="A76" s="18">
        <v>4</v>
      </c>
      <c r="B76" s="8"/>
      <c r="C76" s="27" t="s">
        <v>48</v>
      </c>
      <c r="D76" s="27"/>
      <c r="E76" s="27" t="s">
        <v>90</v>
      </c>
      <c r="F76" s="27"/>
      <c r="G76" s="27"/>
      <c r="H76" s="27"/>
      <c r="I76" s="52"/>
      <c r="J76" s="56"/>
      <c r="K76" s="52"/>
      <c r="L76" s="52"/>
      <c r="M76" s="27"/>
    </row>
    <row r="77" spans="1:13" ht="16.2" thickTop="1" x14ac:dyDescent="0.3">
      <c r="A77" s="5"/>
      <c r="B77" s="1"/>
      <c r="C77" s="1"/>
      <c r="D77" s="1" t="s">
        <v>91</v>
      </c>
      <c r="E77" s="1">
        <v>10</v>
      </c>
      <c r="F77" s="1"/>
      <c r="G77" s="1"/>
      <c r="H77" s="1"/>
      <c r="I77" s="3">
        <v>6000000</v>
      </c>
      <c r="J77" s="12"/>
      <c r="K77" s="12"/>
      <c r="L77" s="12"/>
    </row>
    <row r="78" spans="1:13" ht="15.6" x14ac:dyDescent="0.3">
      <c r="A78" s="5"/>
      <c r="B78" s="1"/>
      <c r="C78" s="1"/>
      <c r="D78" s="1" t="s">
        <v>92</v>
      </c>
      <c r="E78" s="1">
        <v>2</v>
      </c>
      <c r="F78" s="1"/>
      <c r="G78" s="1"/>
      <c r="H78" s="1"/>
      <c r="I78" s="3">
        <v>3600000</v>
      </c>
      <c r="J78" s="12"/>
      <c r="K78" s="12"/>
      <c r="L78" s="12"/>
    </row>
    <row r="79" spans="1:13" ht="15.6" x14ac:dyDescent="0.3">
      <c r="A79" s="5"/>
      <c r="B79" s="1"/>
      <c r="C79" s="1"/>
      <c r="D79" s="1" t="s">
        <v>93</v>
      </c>
      <c r="E79" s="1">
        <v>1</v>
      </c>
      <c r="F79" s="1"/>
      <c r="G79" s="1"/>
      <c r="H79" s="1"/>
      <c r="I79" s="3">
        <v>2400000</v>
      </c>
      <c r="J79" s="12"/>
      <c r="K79" s="12"/>
      <c r="L79" s="12"/>
    </row>
    <row r="80" spans="1:13" ht="15.6" x14ac:dyDescent="0.3">
      <c r="A80" s="5"/>
      <c r="B80" s="1"/>
      <c r="C80" s="1"/>
      <c r="D80" s="1" t="s">
        <v>17</v>
      </c>
      <c r="E80" s="1">
        <v>10</v>
      </c>
      <c r="F80" s="1"/>
      <c r="G80" s="1"/>
      <c r="H80" s="1"/>
      <c r="I80" s="3">
        <v>25200000</v>
      </c>
      <c r="J80" s="12"/>
      <c r="K80" s="12"/>
      <c r="L80" s="12"/>
    </row>
    <row r="81" spans="1:13" ht="16.2" thickBot="1" x14ac:dyDescent="0.35">
      <c r="A81" s="18"/>
      <c r="B81" s="8"/>
      <c r="C81" s="8"/>
      <c r="D81" s="30" t="s">
        <v>94</v>
      </c>
      <c r="E81" s="30"/>
      <c r="F81" s="30"/>
      <c r="G81" s="30"/>
      <c r="H81" s="30"/>
      <c r="I81" s="30">
        <f>SUM(I77:I80)</f>
        <v>37200000</v>
      </c>
      <c r="J81" s="40"/>
      <c r="K81" s="40"/>
      <c r="L81" s="40"/>
    </row>
    <row r="82" spans="1:13" ht="16.2" thickTop="1" x14ac:dyDescent="0.3">
      <c r="A82" s="5"/>
      <c r="B82" s="1"/>
      <c r="C82" s="1"/>
      <c r="D82" s="1"/>
      <c r="E82" s="1"/>
      <c r="F82" s="1"/>
      <c r="G82" s="1"/>
      <c r="H82" s="1"/>
      <c r="I82" s="12"/>
      <c r="J82" s="12"/>
      <c r="K82" s="12"/>
      <c r="L82" s="12"/>
    </row>
    <row r="83" spans="1:13" ht="16.2" thickBot="1" x14ac:dyDescent="0.35">
      <c r="A83" s="18">
        <v>5</v>
      </c>
      <c r="B83" s="8"/>
      <c r="C83" s="27" t="s">
        <v>95</v>
      </c>
      <c r="D83" s="27"/>
      <c r="E83" s="27" t="s">
        <v>96</v>
      </c>
      <c r="F83" s="27"/>
      <c r="G83" s="27"/>
      <c r="H83" s="57"/>
      <c r="I83" s="52"/>
      <c r="J83" s="52"/>
      <c r="K83" s="52"/>
      <c r="L83" s="52"/>
      <c r="M83" s="27"/>
    </row>
    <row r="84" spans="1:13" ht="16.2" thickTop="1" x14ac:dyDescent="0.3">
      <c r="A84" s="5"/>
      <c r="B84" s="1"/>
      <c r="C84" s="1"/>
      <c r="D84" s="1" t="s">
        <v>75</v>
      </c>
      <c r="E84" s="1">
        <v>5</v>
      </c>
      <c r="F84" s="1"/>
      <c r="G84" s="1"/>
      <c r="H84" s="1"/>
      <c r="I84" s="3">
        <v>245000000</v>
      </c>
      <c r="J84" s="12"/>
      <c r="K84" s="12"/>
      <c r="L84" s="12"/>
    </row>
    <row r="85" spans="1:13" ht="15.6" x14ac:dyDescent="0.3">
      <c r="A85" s="5"/>
      <c r="B85" s="1"/>
      <c r="C85" s="1"/>
      <c r="D85" s="1" t="s">
        <v>97</v>
      </c>
      <c r="E85" s="1">
        <v>5</v>
      </c>
      <c r="F85" s="1"/>
      <c r="G85" s="1"/>
      <c r="H85" s="1"/>
      <c r="I85" s="3">
        <v>525000000</v>
      </c>
      <c r="J85" s="12"/>
      <c r="K85" s="12"/>
      <c r="L85" s="12"/>
    </row>
    <row r="86" spans="1:13" ht="15.6" x14ac:dyDescent="0.3">
      <c r="A86" s="5"/>
      <c r="B86" s="1"/>
      <c r="C86" s="1"/>
      <c r="D86" s="1" t="s">
        <v>77</v>
      </c>
      <c r="E86" s="1">
        <v>5</v>
      </c>
      <c r="F86" s="1"/>
      <c r="G86" s="1"/>
      <c r="H86" s="1"/>
      <c r="I86" s="3">
        <v>295000000</v>
      </c>
      <c r="J86" s="12"/>
      <c r="K86" s="12"/>
      <c r="L86" s="12"/>
    </row>
    <row r="87" spans="1:13" ht="15.6" x14ac:dyDescent="0.3">
      <c r="A87" s="5"/>
      <c r="B87" s="1"/>
      <c r="C87" s="1"/>
      <c r="D87" s="1"/>
      <c r="E87" s="1"/>
      <c r="F87" s="1"/>
      <c r="G87" s="1"/>
      <c r="H87" s="1"/>
      <c r="I87" s="12"/>
      <c r="J87" s="12"/>
      <c r="K87" s="12"/>
      <c r="L87" s="12"/>
    </row>
    <row r="88" spans="1:13" ht="16.2" thickBot="1" x14ac:dyDescent="0.35">
      <c r="A88" s="18"/>
      <c r="B88" s="8"/>
      <c r="C88" s="8"/>
      <c r="D88" s="30" t="s">
        <v>98</v>
      </c>
      <c r="E88" s="30"/>
      <c r="F88" s="30"/>
      <c r="G88" s="30"/>
      <c r="H88" s="30"/>
      <c r="I88" s="30">
        <f>SUM(I84:I86)</f>
        <v>1065000000</v>
      </c>
      <c r="J88" s="40"/>
      <c r="K88" s="40"/>
      <c r="L88" s="40"/>
    </row>
    <row r="89" spans="1:13" ht="16.2" thickTop="1" x14ac:dyDescent="0.3">
      <c r="A89" s="5"/>
      <c r="B89" s="1"/>
      <c r="C89" s="1"/>
      <c r="D89" s="1"/>
      <c r="E89" s="1"/>
      <c r="F89" s="1"/>
      <c r="G89" s="1"/>
      <c r="H89" s="1"/>
      <c r="I89" s="12"/>
      <c r="J89" s="12"/>
      <c r="K89" s="12"/>
      <c r="L89" s="12"/>
    </row>
    <row r="90" spans="1:13" ht="16.2" thickBot="1" x14ac:dyDescent="0.35">
      <c r="A90" s="18">
        <v>6</v>
      </c>
      <c r="B90" s="8"/>
      <c r="C90" s="27" t="s">
        <v>67</v>
      </c>
      <c r="D90" s="27"/>
      <c r="E90" s="27"/>
      <c r="F90" s="27"/>
      <c r="G90" s="27"/>
      <c r="H90" s="27"/>
      <c r="I90" s="52"/>
      <c r="J90" s="52"/>
      <c r="K90" s="52"/>
      <c r="L90" s="52"/>
      <c r="M90" s="27"/>
    </row>
    <row r="91" spans="1:13" ht="16.2" thickTop="1" x14ac:dyDescent="0.3">
      <c r="A91" s="5"/>
      <c r="B91" s="1"/>
      <c r="C91" s="1"/>
      <c r="D91" s="47" t="s">
        <v>75</v>
      </c>
      <c r="E91" s="1"/>
      <c r="F91" s="1"/>
      <c r="G91" s="1"/>
      <c r="H91" s="1"/>
      <c r="I91" s="12"/>
      <c r="J91" s="12"/>
      <c r="K91" s="12"/>
      <c r="L91" s="12"/>
    </row>
    <row r="92" spans="1:13" ht="15.6" x14ac:dyDescent="0.3">
      <c r="A92" s="5"/>
      <c r="B92" s="1"/>
      <c r="C92" s="1"/>
      <c r="D92" s="1" t="s">
        <v>99</v>
      </c>
      <c r="E92" s="1"/>
      <c r="F92" s="1"/>
      <c r="G92" s="1"/>
      <c r="H92" s="1"/>
      <c r="I92" s="12">
        <f t="shared" ref="I92:L92" si="10">H95</f>
        <v>0</v>
      </c>
      <c r="J92" s="12">
        <f t="shared" si="10"/>
        <v>196000000</v>
      </c>
      <c r="K92" s="12">
        <f t="shared" si="10"/>
        <v>147000000</v>
      </c>
      <c r="L92" s="12">
        <f t="shared" si="10"/>
        <v>98000000</v>
      </c>
    </row>
    <row r="93" spans="1:13" ht="15.6" x14ac:dyDescent="0.3">
      <c r="A93" s="5"/>
      <c r="B93" s="1"/>
      <c r="C93" s="1"/>
      <c r="D93" s="1" t="s">
        <v>100</v>
      </c>
      <c r="E93" s="1"/>
      <c r="F93" s="1"/>
      <c r="G93" s="1"/>
      <c r="H93" s="1"/>
      <c r="I93" s="12">
        <f t="shared" ref="I93:L93" si="11">I84</f>
        <v>245000000</v>
      </c>
      <c r="J93" s="12">
        <f t="shared" si="11"/>
        <v>0</v>
      </c>
      <c r="K93" s="12">
        <f t="shared" si="11"/>
        <v>0</v>
      </c>
      <c r="L93" s="12">
        <f t="shared" si="11"/>
        <v>0</v>
      </c>
    </row>
    <row r="94" spans="1:13" ht="15.6" x14ac:dyDescent="0.3">
      <c r="A94" s="5"/>
      <c r="B94" s="1"/>
      <c r="C94" s="1"/>
      <c r="D94" s="1" t="s">
        <v>67</v>
      </c>
      <c r="E94" s="1"/>
      <c r="F94" s="1"/>
      <c r="G94" s="1"/>
      <c r="H94" s="1"/>
      <c r="I94" s="12">
        <f t="shared" ref="I94:L94" si="12">$I$93/$E$84</f>
        <v>49000000</v>
      </c>
      <c r="J94" s="12">
        <f t="shared" si="12"/>
        <v>49000000</v>
      </c>
      <c r="K94" s="12">
        <f t="shared" si="12"/>
        <v>49000000</v>
      </c>
      <c r="L94" s="12">
        <f t="shared" si="12"/>
        <v>49000000</v>
      </c>
    </row>
    <row r="95" spans="1:13" ht="16.2" thickBot="1" x14ac:dyDescent="0.35">
      <c r="A95" s="18"/>
      <c r="B95" s="8"/>
      <c r="C95" s="8"/>
      <c r="D95" s="30" t="s">
        <v>101</v>
      </c>
      <c r="E95" s="30"/>
      <c r="F95" s="30"/>
      <c r="G95" s="30"/>
      <c r="H95" s="30"/>
      <c r="I95" s="30">
        <f t="shared" ref="I95:L95" si="13">I92+I93-I94</f>
        <v>196000000</v>
      </c>
      <c r="J95" s="30">
        <f t="shared" si="13"/>
        <v>147000000</v>
      </c>
      <c r="K95" s="30">
        <f t="shared" si="13"/>
        <v>98000000</v>
      </c>
      <c r="L95" s="30">
        <f t="shared" si="13"/>
        <v>49000000</v>
      </c>
    </row>
    <row r="96" spans="1:13" ht="14.4" thickTop="1" x14ac:dyDescent="0.25"/>
    <row r="97" spans="4:12" ht="15.6" x14ac:dyDescent="0.3">
      <c r="D97" s="47" t="s">
        <v>102</v>
      </c>
      <c r="E97" s="1"/>
      <c r="F97" s="1"/>
      <c r="G97" s="1"/>
      <c r="H97" s="1"/>
      <c r="I97" s="12"/>
      <c r="J97" s="12"/>
      <c r="K97" s="12"/>
      <c r="L97" s="12"/>
    </row>
    <row r="98" spans="4:12" ht="15.6" x14ac:dyDescent="0.3">
      <c r="D98" s="1" t="s">
        <v>99</v>
      </c>
      <c r="E98" s="1"/>
      <c r="F98" s="1"/>
      <c r="G98" s="1"/>
      <c r="H98" s="1"/>
      <c r="I98" s="12">
        <f t="shared" ref="I98:L98" si="14">H101</f>
        <v>0</v>
      </c>
      <c r="J98" s="12">
        <f t="shared" si="14"/>
        <v>420000000</v>
      </c>
      <c r="K98" s="12">
        <f t="shared" si="14"/>
        <v>315000000</v>
      </c>
      <c r="L98" s="12">
        <f t="shared" si="14"/>
        <v>210000000</v>
      </c>
    </row>
    <row r="99" spans="4:12" ht="15.6" x14ac:dyDescent="0.3">
      <c r="D99" s="1" t="s">
        <v>100</v>
      </c>
      <c r="E99" s="1"/>
      <c r="F99" s="1"/>
      <c r="G99" s="1"/>
      <c r="H99" s="1"/>
      <c r="I99" s="12">
        <f t="shared" ref="I99:L99" si="15">I85</f>
        <v>525000000</v>
      </c>
      <c r="J99" s="12">
        <f t="shared" si="15"/>
        <v>0</v>
      </c>
      <c r="K99" s="12">
        <f t="shared" si="15"/>
        <v>0</v>
      </c>
      <c r="L99" s="12">
        <f t="shared" si="15"/>
        <v>0</v>
      </c>
    </row>
    <row r="100" spans="4:12" ht="15.6" x14ac:dyDescent="0.3">
      <c r="D100" s="1" t="s">
        <v>67</v>
      </c>
      <c r="E100" s="1"/>
      <c r="F100" s="1"/>
      <c r="G100" s="1"/>
      <c r="H100" s="1"/>
      <c r="I100" s="12">
        <f t="shared" ref="I100:L100" si="16">$I$99/$E$85</f>
        <v>105000000</v>
      </c>
      <c r="J100" s="12">
        <f t="shared" si="16"/>
        <v>105000000</v>
      </c>
      <c r="K100" s="12">
        <f t="shared" si="16"/>
        <v>105000000</v>
      </c>
      <c r="L100" s="12">
        <f t="shared" si="16"/>
        <v>105000000</v>
      </c>
    </row>
    <row r="101" spans="4:12" ht="16.2" thickBot="1" x14ac:dyDescent="0.35">
      <c r="D101" s="30" t="s">
        <v>101</v>
      </c>
      <c r="E101" s="30"/>
      <c r="F101" s="30"/>
      <c r="G101" s="30"/>
      <c r="H101" s="30"/>
      <c r="I101" s="30">
        <f t="shared" ref="I101:L101" si="17">I98+I99-I100</f>
        <v>420000000</v>
      </c>
      <c r="J101" s="30">
        <f t="shared" si="17"/>
        <v>315000000</v>
      </c>
      <c r="K101" s="30">
        <f t="shared" si="17"/>
        <v>210000000</v>
      </c>
      <c r="L101" s="30">
        <f t="shared" si="17"/>
        <v>105000000</v>
      </c>
    </row>
    <row r="102" spans="4:12" ht="16.2" thickTop="1" x14ac:dyDescent="0.3">
      <c r="D102" s="1"/>
      <c r="E102" s="1"/>
      <c r="F102" s="1"/>
      <c r="G102" s="1"/>
      <c r="H102" s="1"/>
      <c r="I102" s="12"/>
      <c r="J102" s="12"/>
      <c r="K102" s="12"/>
      <c r="L102" s="12"/>
    </row>
    <row r="103" spans="4:12" ht="15.6" x14ac:dyDescent="0.3">
      <c r="D103" s="47" t="s">
        <v>77</v>
      </c>
      <c r="E103" s="1"/>
      <c r="F103" s="1"/>
      <c r="G103" s="1"/>
      <c r="H103" s="1"/>
      <c r="I103" s="12"/>
      <c r="J103" s="12"/>
      <c r="K103" s="12"/>
      <c r="L103" s="12"/>
    </row>
    <row r="104" spans="4:12" ht="15.6" x14ac:dyDescent="0.3">
      <c r="D104" s="1" t="s">
        <v>99</v>
      </c>
      <c r="E104" s="1"/>
      <c r="F104" s="1"/>
      <c r="G104" s="1"/>
      <c r="H104" s="1"/>
      <c r="I104" s="12">
        <f t="shared" ref="I104:L104" si="18">H107</f>
        <v>0</v>
      </c>
      <c r="J104" s="12">
        <f t="shared" si="18"/>
        <v>236000000</v>
      </c>
      <c r="K104" s="12">
        <f t="shared" si="18"/>
        <v>177000000</v>
      </c>
      <c r="L104" s="12">
        <f t="shared" si="18"/>
        <v>118000000</v>
      </c>
    </row>
    <row r="105" spans="4:12" ht="15.6" x14ac:dyDescent="0.3">
      <c r="D105" s="1" t="s">
        <v>100</v>
      </c>
      <c r="E105" s="1"/>
      <c r="F105" s="1"/>
      <c r="G105" s="1"/>
      <c r="H105" s="1"/>
      <c r="I105" s="12">
        <f t="shared" ref="I105:L105" si="19">I86</f>
        <v>295000000</v>
      </c>
      <c r="J105" s="12">
        <f t="shared" si="19"/>
        <v>0</v>
      </c>
      <c r="K105" s="12">
        <f t="shared" si="19"/>
        <v>0</v>
      </c>
      <c r="L105" s="12">
        <f t="shared" si="19"/>
        <v>0</v>
      </c>
    </row>
    <row r="106" spans="4:12" ht="15.6" x14ac:dyDescent="0.3">
      <c r="D106" s="1" t="s">
        <v>67</v>
      </c>
      <c r="E106" s="1"/>
      <c r="F106" s="1"/>
      <c r="G106" s="1"/>
      <c r="H106" s="1"/>
      <c r="I106" s="12">
        <f t="shared" ref="I106:L106" si="20">$I$105/$E$86</f>
        <v>59000000</v>
      </c>
      <c r="J106" s="12">
        <f t="shared" si="20"/>
        <v>59000000</v>
      </c>
      <c r="K106" s="12">
        <f t="shared" si="20"/>
        <v>59000000</v>
      </c>
      <c r="L106" s="12">
        <f t="shared" si="20"/>
        <v>59000000</v>
      </c>
    </row>
    <row r="107" spans="4:12" ht="16.2" thickBot="1" x14ac:dyDescent="0.35">
      <c r="D107" s="30" t="s">
        <v>101</v>
      </c>
      <c r="E107" s="30"/>
      <c r="F107" s="30"/>
      <c r="G107" s="30"/>
      <c r="H107" s="30"/>
      <c r="I107" s="30">
        <f t="shared" ref="I107:L107" si="21">I104+I105-I106</f>
        <v>236000000</v>
      </c>
      <c r="J107" s="30">
        <f t="shared" si="21"/>
        <v>177000000</v>
      </c>
      <c r="K107" s="30">
        <f t="shared" si="21"/>
        <v>118000000</v>
      </c>
      <c r="L107" s="30">
        <f t="shared" si="21"/>
        <v>59000000</v>
      </c>
    </row>
    <row r="108" spans="4:12" ht="16.2" thickTop="1" x14ac:dyDescent="0.3">
      <c r="D108" s="1"/>
      <c r="E108" s="1"/>
      <c r="F108" s="1"/>
      <c r="G108" s="1"/>
      <c r="H108" s="1"/>
      <c r="I108" s="12"/>
      <c r="J108" s="12"/>
      <c r="K108" s="12"/>
      <c r="L108" s="12"/>
    </row>
    <row r="109" spans="4:12" ht="15.6" x14ac:dyDescent="0.3">
      <c r="D109" s="47" t="s">
        <v>103</v>
      </c>
      <c r="E109" s="1"/>
      <c r="F109" s="1"/>
      <c r="G109" s="1"/>
      <c r="H109" s="1"/>
      <c r="I109" s="12"/>
      <c r="J109" s="12"/>
      <c r="K109" s="12"/>
      <c r="L109" s="12"/>
    </row>
    <row r="110" spans="4:12" ht="15.6" x14ac:dyDescent="0.3">
      <c r="D110" s="1" t="s">
        <v>99</v>
      </c>
      <c r="E110" s="1"/>
      <c r="F110" s="1"/>
      <c r="G110" s="1"/>
      <c r="H110" s="1"/>
      <c r="I110" s="12">
        <f t="shared" ref="I110:L110" si="22">H113</f>
        <v>0</v>
      </c>
      <c r="J110" s="12">
        <f t="shared" si="22"/>
        <v>852000000</v>
      </c>
      <c r="K110" s="12">
        <f t="shared" si="22"/>
        <v>639000000</v>
      </c>
      <c r="L110" s="12">
        <f t="shared" si="22"/>
        <v>426000000</v>
      </c>
    </row>
    <row r="111" spans="4:12" ht="15.6" x14ac:dyDescent="0.3">
      <c r="D111" s="1" t="s">
        <v>100</v>
      </c>
      <c r="E111" s="1"/>
      <c r="F111" s="1"/>
      <c r="G111" s="1"/>
      <c r="H111" s="1"/>
      <c r="I111" s="12">
        <f t="shared" ref="I111:L111" si="23">SUM(I105,I99,I93)</f>
        <v>1065000000</v>
      </c>
      <c r="J111" s="12">
        <f t="shared" si="23"/>
        <v>0</v>
      </c>
      <c r="K111" s="12">
        <f t="shared" si="23"/>
        <v>0</v>
      </c>
      <c r="L111" s="12">
        <f t="shared" si="23"/>
        <v>0</v>
      </c>
    </row>
    <row r="112" spans="4:12" ht="15.6" x14ac:dyDescent="0.3">
      <c r="D112" s="1" t="s">
        <v>67</v>
      </c>
      <c r="E112" s="1"/>
      <c r="F112" s="1"/>
      <c r="G112" s="1"/>
      <c r="H112" s="1"/>
      <c r="I112" s="12">
        <f t="shared" ref="I112:L112" si="24">SUM(I106,I100,I94)</f>
        <v>213000000</v>
      </c>
      <c r="J112" s="12">
        <f t="shared" si="24"/>
        <v>213000000</v>
      </c>
      <c r="K112" s="12">
        <f t="shared" si="24"/>
        <v>213000000</v>
      </c>
      <c r="L112" s="12">
        <f t="shared" si="24"/>
        <v>213000000</v>
      </c>
    </row>
    <row r="113" spans="1:13" ht="16.2" thickBot="1" x14ac:dyDescent="0.35">
      <c r="A113" s="18"/>
      <c r="B113" s="8"/>
      <c r="C113" s="8"/>
      <c r="D113" s="30" t="s">
        <v>101</v>
      </c>
      <c r="E113" s="30"/>
      <c r="F113" s="30"/>
      <c r="G113" s="30"/>
      <c r="H113" s="30"/>
      <c r="I113" s="30">
        <f t="shared" ref="I113:L113" si="25">I110+I111-I112</f>
        <v>852000000</v>
      </c>
      <c r="J113" s="30">
        <f t="shared" si="25"/>
        <v>639000000</v>
      </c>
      <c r="K113" s="30">
        <f t="shared" si="25"/>
        <v>426000000</v>
      </c>
      <c r="L113" s="30">
        <f t="shared" si="25"/>
        <v>213000000</v>
      </c>
    </row>
    <row r="114" spans="1:13" ht="16.2" thickTop="1" x14ac:dyDescent="0.3">
      <c r="A114" s="5"/>
      <c r="B114" s="1"/>
      <c r="C114" s="1"/>
      <c r="D114" s="1"/>
      <c r="E114" s="1"/>
      <c r="F114" s="1"/>
      <c r="G114" s="1"/>
      <c r="H114" s="1"/>
      <c r="I114" s="12"/>
      <c r="J114" s="12"/>
      <c r="K114" s="12"/>
      <c r="L114" s="12"/>
    </row>
    <row r="115" spans="1:13" ht="16.2" thickBot="1" x14ac:dyDescent="0.35">
      <c r="A115" s="18">
        <v>7</v>
      </c>
      <c r="B115" s="8"/>
      <c r="C115" s="27" t="s">
        <v>104</v>
      </c>
      <c r="D115" s="27"/>
      <c r="E115" s="27" t="s">
        <v>186</v>
      </c>
      <c r="F115" s="27"/>
      <c r="G115" s="27"/>
      <c r="H115" s="27"/>
      <c r="I115" s="52"/>
      <c r="J115" s="52"/>
      <c r="K115" s="52"/>
      <c r="L115" s="52"/>
      <c r="M115" s="27"/>
    </row>
    <row r="116" spans="1:13" ht="16.2" thickTop="1" x14ac:dyDescent="0.3">
      <c r="A116" s="5"/>
      <c r="B116" s="1"/>
      <c r="C116" s="1"/>
      <c r="D116" s="1" t="s">
        <v>75</v>
      </c>
      <c r="E116" s="10">
        <v>0.05</v>
      </c>
      <c r="F116" s="1"/>
      <c r="G116" s="1"/>
      <c r="H116" s="1"/>
      <c r="I116" s="12">
        <f t="shared" ref="I116:I118" si="26">E116*I84</f>
        <v>12250000</v>
      </c>
      <c r="J116" s="12"/>
      <c r="K116" s="12"/>
      <c r="L116" s="12"/>
    </row>
    <row r="117" spans="1:13" ht="15.6" x14ac:dyDescent="0.3">
      <c r="A117" s="5"/>
      <c r="B117" s="1"/>
      <c r="C117" s="1"/>
      <c r="D117" s="1" t="s">
        <v>97</v>
      </c>
      <c r="E117" s="10">
        <v>0.05</v>
      </c>
      <c r="F117" s="1"/>
      <c r="G117" s="1"/>
      <c r="H117" s="1"/>
      <c r="I117" s="12">
        <f t="shared" si="26"/>
        <v>26250000</v>
      </c>
      <c r="J117" s="12"/>
      <c r="K117" s="12"/>
      <c r="L117" s="12"/>
    </row>
    <row r="118" spans="1:13" ht="15.6" x14ac:dyDescent="0.3">
      <c r="A118" s="5"/>
      <c r="B118" s="1"/>
      <c r="C118" s="1"/>
      <c r="D118" s="1" t="s">
        <v>77</v>
      </c>
      <c r="E118" s="10">
        <v>0.05</v>
      </c>
      <c r="F118" s="1"/>
      <c r="G118" s="1"/>
      <c r="H118" s="1"/>
      <c r="I118" s="12">
        <f t="shared" si="26"/>
        <v>14750000</v>
      </c>
      <c r="J118" s="12"/>
      <c r="K118" s="12"/>
      <c r="L118" s="12"/>
    </row>
    <row r="119" spans="1:13" ht="15.6" x14ac:dyDescent="0.3">
      <c r="A119" s="18"/>
      <c r="B119" s="8"/>
      <c r="C119" s="8"/>
      <c r="D119" s="8" t="s">
        <v>94</v>
      </c>
      <c r="E119" s="8"/>
      <c r="F119" s="8"/>
      <c r="G119" s="8"/>
      <c r="H119" s="8"/>
      <c r="I119" s="40">
        <f>SUM(I116:I118)</f>
        <v>53250000</v>
      </c>
      <c r="J119" s="40"/>
      <c r="K119" s="40"/>
      <c r="L119" s="40"/>
    </row>
    <row r="120" spans="1:13" ht="15.6" x14ac:dyDescent="0.3">
      <c r="A120" s="5"/>
      <c r="B120" s="1"/>
      <c r="C120" s="1"/>
      <c r="D120" s="1"/>
      <c r="E120" s="1"/>
      <c r="F120" s="1"/>
      <c r="G120" s="1"/>
      <c r="H120" s="1"/>
      <c r="I120" s="12"/>
      <c r="J120" s="12"/>
      <c r="K120" s="12"/>
      <c r="L120" s="12"/>
    </row>
    <row r="121" spans="1:13" ht="16.2" thickBot="1" x14ac:dyDescent="0.35">
      <c r="A121" s="18">
        <v>8</v>
      </c>
      <c r="B121" s="8"/>
      <c r="C121" s="27" t="s">
        <v>105</v>
      </c>
      <c r="D121" s="27"/>
      <c r="E121" s="27"/>
      <c r="F121" s="27"/>
      <c r="G121" s="27"/>
      <c r="H121" s="27"/>
      <c r="I121" s="52"/>
      <c r="J121" s="52"/>
      <c r="K121" s="52"/>
      <c r="L121" s="52"/>
      <c r="M121" s="27"/>
    </row>
    <row r="122" spans="1:13" ht="16.2" thickTop="1" x14ac:dyDescent="0.3">
      <c r="A122" s="5"/>
      <c r="B122" s="1"/>
      <c r="C122" s="1"/>
      <c r="D122" s="1" t="s">
        <v>106</v>
      </c>
      <c r="E122" s="10">
        <v>0.3</v>
      </c>
      <c r="F122" s="1"/>
      <c r="G122" s="1"/>
      <c r="H122" s="58">
        <v>6800000</v>
      </c>
      <c r="I122" s="12"/>
      <c r="J122" s="12"/>
      <c r="K122" s="12"/>
      <c r="L122" s="12"/>
    </row>
    <row r="123" spans="1:13" ht="15.6" x14ac:dyDescent="0.3">
      <c r="A123" s="5"/>
      <c r="B123" s="1"/>
      <c r="C123" s="1"/>
      <c r="D123" s="1" t="s">
        <v>107</v>
      </c>
      <c r="E123" s="10">
        <v>0.04</v>
      </c>
      <c r="F123" s="1"/>
      <c r="G123" s="1"/>
      <c r="H123" s="1"/>
      <c r="I123" s="12"/>
      <c r="J123" s="12"/>
      <c r="K123" s="12"/>
      <c r="L123" s="12"/>
    </row>
    <row r="124" spans="1:13" ht="16.2" thickBot="1" x14ac:dyDescent="0.35">
      <c r="A124" s="18"/>
      <c r="B124" s="8"/>
      <c r="C124" s="8"/>
      <c r="D124" s="30" t="s">
        <v>94</v>
      </c>
      <c r="E124" s="31">
        <f>SUM(E122:E123)</f>
        <v>0.33999999999999997</v>
      </c>
      <c r="F124" s="8"/>
      <c r="G124" s="8"/>
      <c r="H124" s="8"/>
      <c r="I124" s="40"/>
      <c r="J124" s="40"/>
      <c r="K124" s="40"/>
      <c r="L124" s="40"/>
    </row>
    <row r="125" spans="1:13" ht="16.2" thickTop="1" x14ac:dyDescent="0.3">
      <c r="A125" s="5"/>
      <c r="B125" s="1"/>
      <c r="C125" s="1"/>
      <c r="D125" s="1"/>
      <c r="E125" s="1"/>
      <c r="F125" s="1"/>
      <c r="G125" s="1"/>
      <c r="H125" s="1"/>
      <c r="I125" s="12"/>
      <c r="J125" s="12"/>
      <c r="K125" s="12"/>
      <c r="L125" s="12"/>
    </row>
    <row r="126" spans="1:13" ht="16.2" thickBot="1" x14ac:dyDescent="0.35">
      <c r="A126" s="18">
        <v>9</v>
      </c>
      <c r="B126" s="8"/>
      <c r="C126" s="27" t="s">
        <v>108</v>
      </c>
      <c r="D126" s="27"/>
      <c r="E126" s="27" t="s">
        <v>109</v>
      </c>
      <c r="F126" s="27"/>
      <c r="G126" s="27"/>
      <c r="H126" s="27"/>
      <c r="I126" s="52"/>
      <c r="J126" s="52"/>
      <c r="K126" s="52"/>
      <c r="L126" s="52"/>
      <c r="M126" s="27"/>
    </row>
    <row r="127" spans="1:13" ht="16.2" thickTop="1" x14ac:dyDescent="0.3">
      <c r="A127" s="5"/>
      <c r="B127" s="1"/>
      <c r="C127" s="1"/>
      <c r="D127" s="1" t="s">
        <v>110</v>
      </c>
      <c r="E127" s="1"/>
      <c r="F127" s="1"/>
      <c r="G127" s="1"/>
      <c r="H127" s="1"/>
      <c r="I127" s="54">
        <f>Guide!$E$35</f>
        <v>365</v>
      </c>
      <c r="J127" s="54">
        <f>Guide!$E$35</f>
        <v>365</v>
      </c>
      <c r="K127" s="54">
        <f>Guide!$E$35</f>
        <v>365</v>
      </c>
      <c r="L127" s="54">
        <f>Guide!$E$35</f>
        <v>365</v>
      </c>
    </row>
    <row r="128" spans="1:13" ht="15.6" x14ac:dyDescent="0.3">
      <c r="A128" s="5"/>
      <c r="B128" s="1"/>
      <c r="C128" s="1"/>
      <c r="D128" s="1" t="s">
        <v>12</v>
      </c>
      <c r="E128" s="1"/>
      <c r="F128" s="1"/>
      <c r="G128" s="1"/>
      <c r="H128" s="1"/>
      <c r="I128" s="54">
        <f t="shared" ref="I128:L128" si="27">I35</f>
        <v>2581200000</v>
      </c>
      <c r="J128" s="54">
        <f t="shared" si="27"/>
        <v>3226500000</v>
      </c>
      <c r="K128" s="54">
        <f t="shared" si="27"/>
        <v>4033125000</v>
      </c>
      <c r="L128" s="54">
        <f t="shared" si="27"/>
        <v>5041406250</v>
      </c>
    </row>
    <row r="129" spans="1:13" ht="15.6" x14ac:dyDescent="0.3">
      <c r="A129" s="5"/>
      <c r="B129" s="1"/>
      <c r="C129" s="1"/>
      <c r="D129" s="1" t="s">
        <v>111</v>
      </c>
      <c r="E129" s="1"/>
      <c r="F129" s="1"/>
      <c r="G129" s="1"/>
      <c r="H129" s="1"/>
      <c r="I129" s="54">
        <f t="shared" ref="I129:L129" si="28">I71</f>
        <v>541045000</v>
      </c>
      <c r="J129" s="54">
        <f t="shared" si="28"/>
        <v>1451925000</v>
      </c>
      <c r="K129" s="54">
        <f t="shared" si="28"/>
        <v>1814906250</v>
      </c>
      <c r="L129" s="54">
        <f t="shared" si="28"/>
        <v>2268632812.5</v>
      </c>
    </row>
    <row r="130" spans="1:13" ht="15.6" x14ac:dyDescent="0.3">
      <c r="A130" s="5"/>
      <c r="B130" s="1"/>
      <c r="C130" s="1"/>
      <c r="D130" s="1"/>
      <c r="E130" s="1"/>
      <c r="F130" s="1"/>
      <c r="G130" s="1"/>
      <c r="H130" s="1"/>
      <c r="I130" s="12"/>
      <c r="J130" s="12"/>
      <c r="K130" s="12"/>
      <c r="L130" s="12"/>
    </row>
    <row r="131" spans="1:13" ht="15.6" x14ac:dyDescent="0.3">
      <c r="A131" s="5"/>
      <c r="B131" s="1"/>
      <c r="C131" s="1"/>
      <c r="D131" s="47" t="s">
        <v>112</v>
      </c>
      <c r="E131" s="1"/>
      <c r="F131" s="1"/>
      <c r="G131" s="1"/>
      <c r="H131" s="1"/>
      <c r="I131" s="12"/>
      <c r="J131" s="12"/>
      <c r="K131" s="12"/>
      <c r="L131" s="12"/>
    </row>
    <row r="132" spans="1:13" ht="15.6" x14ac:dyDescent="0.3">
      <c r="A132" s="5"/>
      <c r="B132" s="1"/>
      <c r="C132" s="1"/>
      <c r="D132" s="1" t="s">
        <v>113</v>
      </c>
      <c r="E132" s="59">
        <v>40</v>
      </c>
      <c r="F132" s="1"/>
      <c r="G132" s="1"/>
      <c r="H132" s="1"/>
      <c r="I132" s="54">
        <f t="shared" ref="I132:L132" si="29">$E$132/I127*I129</f>
        <v>59292602.739726022</v>
      </c>
      <c r="J132" s="54">
        <f t="shared" si="29"/>
        <v>159115068.49315068</v>
      </c>
      <c r="K132" s="54">
        <f t="shared" si="29"/>
        <v>198893835.61643836</v>
      </c>
      <c r="L132" s="54">
        <f t="shared" si="29"/>
        <v>248617294.52054793</v>
      </c>
    </row>
    <row r="133" spans="1:13" ht="15.6" x14ac:dyDescent="0.3">
      <c r="A133" s="5"/>
      <c r="B133" s="1"/>
      <c r="C133" s="1"/>
      <c r="D133" s="1" t="s">
        <v>114</v>
      </c>
      <c r="E133" s="59">
        <v>30</v>
      </c>
      <c r="F133" s="1"/>
      <c r="G133" s="1"/>
      <c r="H133" s="1"/>
      <c r="I133" s="54">
        <f t="shared" ref="I133:L133" si="30">$E$133/I127*I128</f>
        <v>212153424.65753424</v>
      </c>
      <c r="J133" s="54">
        <f t="shared" si="30"/>
        <v>265191780.8219178</v>
      </c>
      <c r="K133" s="54">
        <f t="shared" si="30"/>
        <v>331489726.02739722</v>
      </c>
      <c r="L133" s="54">
        <f t="shared" si="30"/>
        <v>414362157.53424656</v>
      </c>
    </row>
    <row r="134" spans="1:13" ht="15.6" x14ac:dyDescent="0.3">
      <c r="A134" s="5"/>
      <c r="B134" s="1"/>
      <c r="C134" s="1"/>
      <c r="D134" s="47" t="s">
        <v>115</v>
      </c>
      <c r="E134" s="1"/>
      <c r="F134" s="1"/>
      <c r="G134" s="1"/>
      <c r="H134" s="1"/>
      <c r="I134" s="12"/>
      <c r="J134" s="12"/>
      <c r="K134" s="12"/>
      <c r="L134" s="12"/>
    </row>
    <row r="135" spans="1:13" ht="15.6" x14ac:dyDescent="0.3">
      <c r="A135" s="5"/>
      <c r="B135" s="1"/>
      <c r="C135" s="1"/>
      <c r="D135" s="1" t="s">
        <v>116</v>
      </c>
      <c r="E135" s="59">
        <v>20</v>
      </c>
      <c r="F135" s="1"/>
      <c r="G135" s="1"/>
      <c r="H135" s="1"/>
      <c r="I135" s="54">
        <f t="shared" ref="I135:L135" si="31">$E$135/I127*I129</f>
        <v>29646301.369863011</v>
      </c>
      <c r="J135" s="54">
        <f t="shared" si="31"/>
        <v>79557534.246575341</v>
      </c>
      <c r="K135" s="54">
        <f t="shared" si="31"/>
        <v>99446917.80821918</v>
      </c>
      <c r="L135" s="54">
        <f t="shared" si="31"/>
        <v>124308647.26027396</v>
      </c>
    </row>
    <row r="136" spans="1:13" ht="15.6" x14ac:dyDescent="0.3">
      <c r="A136" s="5"/>
      <c r="B136" s="1"/>
      <c r="C136" s="1"/>
      <c r="D136" s="1"/>
      <c r="E136" s="1"/>
      <c r="F136" s="1"/>
      <c r="G136" s="1"/>
      <c r="H136" s="1"/>
      <c r="I136" s="12"/>
      <c r="J136" s="12"/>
      <c r="K136" s="12"/>
      <c r="L136" s="12"/>
    </row>
    <row r="137" spans="1:13" ht="16.2" thickBot="1" x14ac:dyDescent="0.35">
      <c r="A137" s="18">
        <v>10</v>
      </c>
      <c r="B137" s="8"/>
      <c r="C137" s="27" t="s">
        <v>117</v>
      </c>
      <c r="D137" s="27"/>
      <c r="E137" s="52"/>
      <c r="F137" s="27"/>
      <c r="G137" s="27"/>
      <c r="H137" s="27"/>
      <c r="I137" s="52"/>
      <c r="J137" s="52"/>
      <c r="K137" s="52"/>
      <c r="L137" s="52"/>
      <c r="M137" s="27"/>
    </row>
    <row r="138" spans="1:13" ht="16.2" thickTop="1" x14ac:dyDescent="0.3">
      <c r="A138" s="5"/>
      <c r="B138" s="1"/>
      <c r="C138" s="47" t="s">
        <v>118</v>
      </c>
      <c r="D138" s="1"/>
      <c r="E138" s="12"/>
      <c r="F138" s="1"/>
      <c r="G138" s="1"/>
      <c r="H138" s="1"/>
      <c r="I138" s="12"/>
      <c r="J138" s="12"/>
      <c r="K138" s="12"/>
      <c r="L138" s="12"/>
    </row>
    <row r="139" spans="1:13" ht="15.6" x14ac:dyDescent="0.3">
      <c r="A139" s="5"/>
      <c r="B139" s="1"/>
      <c r="C139" s="1"/>
      <c r="D139" s="1" t="s">
        <v>119</v>
      </c>
      <c r="E139" s="12">
        <v>65000000</v>
      </c>
      <c r="F139" s="1"/>
      <c r="G139" s="1"/>
      <c r="H139" s="1"/>
      <c r="I139" s="12"/>
      <c r="J139" s="12"/>
      <c r="K139" s="12"/>
      <c r="L139" s="12"/>
    </row>
    <row r="140" spans="1:13" ht="15.6" x14ac:dyDescent="0.3">
      <c r="A140" s="5"/>
      <c r="B140" s="1"/>
      <c r="C140" s="1"/>
      <c r="D140" s="1" t="s">
        <v>120</v>
      </c>
      <c r="E140" s="12">
        <v>1000000000</v>
      </c>
      <c r="F140" s="1"/>
      <c r="G140" s="1"/>
      <c r="H140" s="1"/>
      <c r="I140" s="1"/>
      <c r="J140" s="1"/>
      <c r="K140" s="1"/>
      <c r="L140" s="1"/>
    </row>
    <row r="141" spans="1:13" ht="16.2" thickBot="1" x14ac:dyDescent="0.35">
      <c r="A141" s="18"/>
      <c r="B141" s="8"/>
      <c r="C141" s="8"/>
      <c r="D141" s="30" t="s">
        <v>94</v>
      </c>
      <c r="E141" s="30">
        <f>SUM(E139:E140)</f>
        <v>1065000000</v>
      </c>
      <c r="F141" s="8"/>
      <c r="G141" s="8"/>
      <c r="H141" s="8"/>
      <c r="I141" s="8"/>
      <c r="J141" s="8"/>
      <c r="K141" s="8"/>
      <c r="L141" s="8"/>
    </row>
    <row r="142" spans="1:13" ht="16.2" thickTop="1" x14ac:dyDescent="0.3">
      <c r="A142" s="5"/>
      <c r="B142" s="1"/>
      <c r="C142" s="1"/>
      <c r="D142" s="1"/>
      <c r="E142" s="12"/>
      <c r="F142" s="1"/>
      <c r="G142" s="1"/>
      <c r="H142" s="1"/>
      <c r="I142" s="1"/>
      <c r="J142" s="1"/>
      <c r="K142" s="1"/>
      <c r="L142" s="1"/>
    </row>
    <row r="143" spans="1:13" ht="16.2" thickBot="1" x14ac:dyDescent="0.35">
      <c r="A143" s="18">
        <v>11</v>
      </c>
      <c r="B143" s="8"/>
      <c r="C143" s="27" t="s">
        <v>121</v>
      </c>
      <c r="D143" s="27"/>
      <c r="E143" s="52"/>
      <c r="F143" s="27"/>
      <c r="G143" s="27"/>
      <c r="H143" s="27"/>
      <c r="I143" s="27"/>
      <c r="J143" s="27"/>
      <c r="K143" s="27"/>
      <c r="L143" s="27"/>
      <c r="M143" s="27"/>
    </row>
    <row r="144" spans="1:13" ht="16.2" thickTop="1" x14ac:dyDescent="0.3">
      <c r="A144" s="5"/>
      <c r="B144" s="1"/>
      <c r="C144" s="1"/>
      <c r="D144" s="1" t="s">
        <v>122</v>
      </c>
      <c r="E144" s="53">
        <v>1000000000</v>
      </c>
      <c r="F144" s="1"/>
      <c r="G144" s="1"/>
      <c r="H144" s="1"/>
      <c r="I144" s="1"/>
      <c r="J144" s="1"/>
      <c r="K144" s="1"/>
      <c r="L144" s="1"/>
    </row>
    <row r="145" spans="3:12" ht="15.6" x14ac:dyDescent="0.3">
      <c r="C145" s="1"/>
      <c r="D145" s="1" t="s">
        <v>123</v>
      </c>
      <c r="E145" s="51">
        <v>0.33</v>
      </c>
      <c r="F145" s="1"/>
      <c r="G145" s="1"/>
      <c r="H145" s="1"/>
      <c r="I145" s="1"/>
      <c r="J145" s="1"/>
      <c r="K145" s="1"/>
    </row>
    <row r="146" spans="3:12" ht="15.6" x14ac:dyDescent="0.3">
      <c r="C146" s="1"/>
      <c r="D146" s="1" t="s">
        <v>124</v>
      </c>
      <c r="E146" s="53">
        <v>4</v>
      </c>
      <c r="F146" s="1"/>
      <c r="G146" s="1"/>
      <c r="H146" s="1"/>
      <c r="I146" s="1"/>
      <c r="J146" s="1"/>
      <c r="K146" s="1"/>
    </row>
    <row r="147" spans="3:12" ht="15.6" x14ac:dyDescent="0.3">
      <c r="C147" s="1"/>
      <c r="D147" s="1" t="s">
        <v>125</v>
      </c>
      <c r="E147" s="53">
        <v>0</v>
      </c>
      <c r="F147" s="1"/>
      <c r="G147" s="1"/>
      <c r="H147" s="1"/>
      <c r="I147" s="1"/>
      <c r="J147" s="1"/>
      <c r="K147" s="1"/>
    </row>
    <row r="148" spans="3:12" ht="15.6" x14ac:dyDescent="0.3">
      <c r="C148" s="1"/>
      <c r="D148" s="1" t="s">
        <v>126</v>
      </c>
      <c r="E148" s="54">
        <f>E146-E147</f>
        <v>4</v>
      </c>
      <c r="F148" s="1"/>
      <c r="G148" s="1"/>
      <c r="H148" s="1"/>
      <c r="I148" s="1"/>
      <c r="J148" s="1"/>
      <c r="K148" s="1"/>
    </row>
    <row r="149" spans="3:12" ht="15.6" x14ac:dyDescent="0.3">
      <c r="C149" s="1"/>
      <c r="D149" s="1"/>
      <c r="E149" s="12"/>
      <c r="F149" s="1"/>
      <c r="G149" s="1"/>
      <c r="H149" s="1"/>
      <c r="I149" s="1"/>
      <c r="J149" s="1"/>
      <c r="K149" s="1"/>
    </row>
    <row r="150" spans="3:12" ht="15.6" x14ac:dyDescent="0.3">
      <c r="C150" s="1"/>
      <c r="D150" s="1" t="s">
        <v>99</v>
      </c>
      <c r="E150" s="1"/>
      <c r="F150" s="1"/>
      <c r="G150" s="1"/>
      <c r="H150" s="1"/>
      <c r="I150" s="1">
        <f t="shared" ref="I150:L150" si="32">H154</f>
        <v>0</v>
      </c>
      <c r="J150" s="12">
        <f t="shared" si="32"/>
        <v>844998176.40354538</v>
      </c>
      <c r="K150" s="12">
        <f t="shared" si="32"/>
        <v>638845751.02026081</v>
      </c>
      <c r="L150" s="12">
        <f t="shared" si="32"/>
        <v>364663025.26049232</v>
      </c>
    </row>
    <row r="151" spans="3:12" ht="15.6" x14ac:dyDescent="0.3">
      <c r="C151" s="1"/>
      <c r="D151" s="1" t="s">
        <v>127</v>
      </c>
      <c r="E151" s="1"/>
      <c r="F151" s="1"/>
      <c r="G151" s="1"/>
      <c r="H151" s="1"/>
      <c r="I151" s="12">
        <f t="shared" ref="I151:L151" si="33">E144</f>
        <v>1000000000</v>
      </c>
      <c r="J151" s="1">
        <f t="shared" si="33"/>
        <v>0</v>
      </c>
      <c r="K151" s="1">
        <f t="shared" si="33"/>
        <v>0</v>
      </c>
      <c r="L151" s="1">
        <f t="shared" si="33"/>
        <v>0</v>
      </c>
    </row>
    <row r="152" spans="3:12" ht="15.6" x14ac:dyDescent="0.3">
      <c r="C152" s="1"/>
      <c r="D152" s="1" t="s">
        <v>128</v>
      </c>
      <c r="E152" s="1"/>
      <c r="F152" s="1"/>
      <c r="G152" s="1"/>
      <c r="H152" s="1"/>
      <c r="I152" s="12">
        <f t="shared" ref="I152:K152" si="34">PPMT($E$145,I14,$E$148,-$E$144)</f>
        <v>155001823.59645456</v>
      </c>
      <c r="J152" s="12">
        <f t="shared" si="34"/>
        <v>206152425.38328457</v>
      </c>
      <c r="K152" s="12">
        <f t="shared" si="34"/>
        <v>274182725.75976849</v>
      </c>
      <c r="L152" s="12">
        <f t="shared" ref="L152" si="35">PPMT($E$145,L14,$E$148,-$E$144)</f>
        <v>364663025.26049215</v>
      </c>
    </row>
    <row r="153" spans="3:12" ht="15.6" x14ac:dyDescent="0.3">
      <c r="C153" s="1"/>
      <c r="D153" s="1" t="s">
        <v>129</v>
      </c>
      <c r="E153" s="1"/>
      <c r="F153" s="1"/>
      <c r="G153" s="1"/>
      <c r="H153" s="1"/>
      <c r="I153" s="12">
        <f t="shared" ref="I153:K153" si="36">IPMT($E$145,I14,$E$148,-$E$144)</f>
        <v>330000000</v>
      </c>
      <c r="J153" s="12">
        <f t="shared" si="36"/>
        <v>278849398.21316999</v>
      </c>
      <c r="K153" s="12">
        <f t="shared" si="36"/>
        <v>210819097.83668599</v>
      </c>
      <c r="L153" s="12">
        <f t="shared" ref="L153" si="37">IPMT($E$145,L14,$E$148,-$E$144)</f>
        <v>120338798.33596241</v>
      </c>
    </row>
    <row r="154" spans="3:12" ht="16.2" thickBot="1" x14ac:dyDescent="0.35">
      <c r="C154" s="8"/>
      <c r="D154" s="30" t="s">
        <v>130</v>
      </c>
      <c r="E154" s="30"/>
      <c r="F154" s="30"/>
      <c r="G154" s="30"/>
      <c r="H154" s="30"/>
      <c r="I154" s="30">
        <f t="shared" ref="I154:K154" si="38">I150+I151-I152</f>
        <v>844998176.40354538</v>
      </c>
      <c r="J154" s="30">
        <f t="shared" si="38"/>
        <v>638845751.02026081</v>
      </c>
      <c r="K154" s="30">
        <f t="shared" si="38"/>
        <v>364663025.26049232</v>
      </c>
      <c r="L154" s="30">
        <f t="shared" ref="L154" si="39">L150+L151-L152</f>
        <v>0</v>
      </c>
    </row>
    <row r="155" spans="3:12" ht="14.4" thickTop="1" x14ac:dyDescent="0.25"/>
    <row r="156" spans="3:12" ht="13.8" x14ac:dyDescent="0.25"/>
    <row r="157" spans="3:12" ht="13.8" x14ac:dyDescent="0.25"/>
    <row r="158" spans="3:12" ht="13.8" x14ac:dyDescent="0.25"/>
    <row r="159" spans="3:12" ht="13.8" x14ac:dyDescent="0.25"/>
    <row r="160" spans="3:12" ht="13.8" x14ac:dyDescent="0.25"/>
    <row r="161" s="15" customFormat="1" ht="13.8" x14ac:dyDescent="0.25"/>
    <row r="162" s="15" customFormat="1" ht="13.8" x14ac:dyDescent="0.25"/>
    <row r="163" s="15" customFormat="1" ht="13.8" x14ac:dyDescent="0.25"/>
    <row r="164" s="15" customFormat="1" ht="13.8" x14ac:dyDescent="0.25"/>
    <row r="165" s="15" customFormat="1" ht="13.8" x14ac:dyDescent="0.25"/>
    <row r="166" s="15" customFormat="1" ht="13.8" x14ac:dyDescent="0.25"/>
    <row r="167" s="15" customFormat="1" ht="13.8" x14ac:dyDescent="0.25"/>
    <row r="168" s="15" customFormat="1" ht="13.8" x14ac:dyDescent="0.25"/>
    <row r="169" s="15" customFormat="1" ht="13.8" x14ac:dyDescent="0.25"/>
    <row r="170" s="15" customFormat="1" ht="13.8" x14ac:dyDescent="0.25"/>
    <row r="171" s="15" customFormat="1" ht="13.8" x14ac:dyDescent="0.25"/>
    <row r="172" s="15" customFormat="1" ht="13.8" x14ac:dyDescent="0.25"/>
    <row r="173" s="15" customFormat="1" ht="13.8" x14ac:dyDescent="0.25"/>
    <row r="174" s="15" customFormat="1" ht="13.8" x14ac:dyDescent="0.25"/>
    <row r="175" s="15" customFormat="1" ht="13.8" x14ac:dyDescent="0.25"/>
    <row r="176" s="15" customFormat="1" ht="13.8" x14ac:dyDescent="0.25"/>
    <row r="177" s="15" customFormat="1" ht="13.8" x14ac:dyDescent="0.25"/>
    <row r="178" s="15" customFormat="1" ht="13.8" x14ac:dyDescent="0.25"/>
    <row r="179" s="15" customFormat="1" ht="13.8" x14ac:dyDescent="0.25"/>
    <row r="180" s="15" customFormat="1" ht="13.8" x14ac:dyDescent="0.25"/>
    <row r="181" s="15" customFormat="1" ht="13.8" x14ac:dyDescent="0.25"/>
    <row r="182" s="15" customFormat="1" ht="13.8" x14ac:dyDescent="0.25"/>
    <row r="183" s="15" customFormat="1" ht="13.8" x14ac:dyDescent="0.25"/>
    <row r="184" s="15" customFormat="1" ht="13.8" x14ac:dyDescent="0.25"/>
    <row r="185" s="15" customFormat="1" ht="13.8" x14ac:dyDescent="0.25"/>
    <row r="186" s="15" customFormat="1" ht="13.8" x14ac:dyDescent="0.25"/>
    <row r="187" s="15" customFormat="1" ht="13.8" x14ac:dyDescent="0.25"/>
    <row r="188" s="15" customFormat="1" ht="13.8" x14ac:dyDescent="0.25"/>
    <row r="189" s="15" customFormat="1" ht="13.8" x14ac:dyDescent="0.25"/>
    <row r="190" s="15" customFormat="1" ht="13.8" x14ac:dyDescent="0.25"/>
    <row r="191" s="15" customFormat="1" ht="13.8" x14ac:dyDescent="0.25"/>
    <row r="192" s="15" customFormat="1" ht="13.8" x14ac:dyDescent="0.25"/>
    <row r="193" s="15" customFormat="1" ht="13.8" x14ac:dyDescent="0.25"/>
    <row r="194" s="15" customFormat="1" ht="13.8" x14ac:dyDescent="0.25"/>
    <row r="195" s="15" customFormat="1" ht="13.8" x14ac:dyDescent="0.25"/>
    <row r="196" s="15" customFormat="1" ht="13.8" x14ac:dyDescent="0.25"/>
    <row r="197" s="15" customFormat="1" ht="13.8" x14ac:dyDescent="0.25"/>
    <row r="198" s="15" customFormat="1" ht="13.8" x14ac:dyDescent="0.25"/>
    <row r="199" s="15" customFormat="1" ht="13.8" x14ac:dyDescent="0.25"/>
    <row r="200" s="15" customFormat="1" ht="13.8" x14ac:dyDescent="0.25"/>
    <row r="201" s="15" customFormat="1" ht="13.8" x14ac:dyDescent="0.25"/>
    <row r="202" s="15" customFormat="1" ht="13.8" x14ac:dyDescent="0.25"/>
    <row r="203" s="15" customFormat="1" ht="13.8" x14ac:dyDescent="0.25"/>
    <row r="204" s="15" customFormat="1" ht="13.8" x14ac:dyDescent="0.25"/>
    <row r="205" s="15" customFormat="1" ht="13.8" x14ac:dyDescent="0.25"/>
    <row r="206" s="15" customFormat="1" ht="13.8" x14ac:dyDescent="0.25"/>
    <row r="207" s="15" customFormat="1" ht="13.8" x14ac:dyDescent="0.25"/>
    <row r="208" s="15" customFormat="1" ht="13.8" x14ac:dyDescent="0.25"/>
    <row r="209" s="15" customFormat="1" ht="13.8" x14ac:dyDescent="0.25"/>
    <row r="210" s="15" customFormat="1" ht="13.8" x14ac:dyDescent="0.25"/>
    <row r="211" s="15" customFormat="1" ht="13.8" x14ac:dyDescent="0.25"/>
    <row r="212" s="15" customFormat="1" ht="13.8" x14ac:dyDescent="0.25"/>
    <row r="213" s="15" customFormat="1" ht="13.8" x14ac:dyDescent="0.25"/>
    <row r="214" s="15" customFormat="1" ht="13.8" x14ac:dyDescent="0.25"/>
    <row r="215" s="15" customFormat="1" ht="13.8" x14ac:dyDescent="0.25"/>
    <row r="216" s="15" customFormat="1" ht="13.8" x14ac:dyDescent="0.25"/>
    <row r="217" s="15" customFormat="1" ht="13.8" x14ac:dyDescent="0.25"/>
    <row r="218" s="15" customFormat="1" ht="13.8" x14ac:dyDescent="0.25"/>
    <row r="219" s="15" customFormat="1" ht="13.8" x14ac:dyDescent="0.25"/>
    <row r="220" s="15" customFormat="1" ht="13.8" x14ac:dyDescent="0.25"/>
    <row r="221" s="15" customFormat="1" ht="13.8" x14ac:dyDescent="0.25"/>
    <row r="222" s="15" customFormat="1" ht="13.8" x14ac:dyDescent="0.25"/>
    <row r="223" s="15" customFormat="1" ht="13.8" x14ac:dyDescent="0.25"/>
    <row r="224" s="15" customFormat="1" ht="13.8" x14ac:dyDescent="0.25"/>
    <row r="225" s="15" customFormat="1" ht="13.8" x14ac:dyDescent="0.25"/>
    <row r="226" s="15" customFormat="1" ht="13.8" x14ac:dyDescent="0.25"/>
    <row r="227" s="15" customFormat="1" ht="13.8" x14ac:dyDescent="0.25"/>
    <row r="228" s="15" customFormat="1" ht="13.8" x14ac:dyDescent="0.25"/>
    <row r="229" s="15" customFormat="1" ht="13.8" x14ac:dyDescent="0.25"/>
    <row r="230" s="15" customFormat="1" ht="13.8" x14ac:dyDescent="0.25"/>
    <row r="231" s="15" customFormat="1" ht="13.8" x14ac:dyDescent="0.25"/>
    <row r="232" s="15" customFormat="1" ht="13.8" x14ac:dyDescent="0.25"/>
    <row r="233" s="15" customFormat="1" ht="13.8" x14ac:dyDescent="0.25"/>
    <row r="234" s="15" customFormat="1" ht="13.8" x14ac:dyDescent="0.25"/>
    <row r="235" s="15" customFormat="1" ht="13.8" x14ac:dyDescent="0.25"/>
    <row r="236" s="15" customFormat="1" ht="13.8" x14ac:dyDescent="0.25"/>
    <row r="237" s="15" customFormat="1" ht="13.8" x14ac:dyDescent="0.25"/>
    <row r="238" s="15" customFormat="1" ht="13.8" x14ac:dyDescent="0.25"/>
    <row r="239" s="15" customFormat="1" ht="13.8" x14ac:dyDescent="0.25"/>
    <row r="240" s="15" customFormat="1" ht="13.8" x14ac:dyDescent="0.25"/>
    <row r="241" s="15" customFormat="1" ht="13.8" x14ac:dyDescent="0.25"/>
    <row r="242" s="15" customFormat="1" ht="13.8" x14ac:dyDescent="0.25"/>
    <row r="243" s="15" customFormat="1" ht="13.8" x14ac:dyDescent="0.25"/>
    <row r="244" s="15" customFormat="1" ht="13.8" x14ac:dyDescent="0.25"/>
    <row r="245" s="15" customFormat="1" ht="13.8" x14ac:dyDescent="0.25"/>
    <row r="246" s="15" customFormat="1" ht="13.8" x14ac:dyDescent="0.25"/>
    <row r="247" s="15" customFormat="1" ht="13.8" x14ac:dyDescent="0.25"/>
    <row r="248" s="15" customFormat="1" ht="13.8" x14ac:dyDescent="0.25"/>
    <row r="249" s="15" customFormat="1" ht="13.8" x14ac:dyDescent="0.25"/>
    <row r="250" s="15" customFormat="1" ht="13.8" x14ac:dyDescent="0.25"/>
    <row r="251" s="15" customFormat="1" ht="13.8" x14ac:dyDescent="0.25"/>
    <row r="252" s="15" customFormat="1" ht="13.8" x14ac:dyDescent="0.25"/>
    <row r="253" s="15" customFormat="1" ht="13.8" x14ac:dyDescent="0.25"/>
    <row r="254" s="15" customFormat="1" ht="13.8" x14ac:dyDescent="0.25"/>
    <row r="255" s="15" customFormat="1" ht="13.8" x14ac:dyDescent="0.25"/>
    <row r="256" s="15" customFormat="1" ht="13.8" x14ac:dyDescent="0.25"/>
    <row r="257" s="15" customFormat="1" ht="13.8" x14ac:dyDescent="0.25"/>
    <row r="258" s="15" customFormat="1" ht="13.8" x14ac:dyDescent="0.25"/>
    <row r="259" s="15" customFormat="1" ht="13.8" x14ac:dyDescent="0.25"/>
    <row r="260" s="15" customFormat="1" ht="13.8" x14ac:dyDescent="0.25"/>
    <row r="261" s="15" customFormat="1" ht="13.8" x14ac:dyDescent="0.25"/>
    <row r="262" s="15" customFormat="1" ht="13.8" x14ac:dyDescent="0.25"/>
    <row r="263" s="15" customFormat="1" ht="13.8" x14ac:dyDescent="0.25"/>
    <row r="264" s="15" customFormat="1" ht="13.8" x14ac:dyDescent="0.25"/>
    <row r="265" s="15" customFormat="1" ht="13.8" x14ac:dyDescent="0.25"/>
    <row r="266" s="15" customFormat="1" ht="13.8" x14ac:dyDescent="0.25"/>
    <row r="267" s="15" customFormat="1" ht="13.8" x14ac:dyDescent="0.25"/>
    <row r="268" s="15" customFormat="1" ht="13.8" x14ac:dyDescent="0.25"/>
    <row r="269" s="15" customFormat="1" ht="13.8" x14ac:dyDescent="0.25"/>
    <row r="270" s="15" customFormat="1" ht="13.8" x14ac:dyDescent="0.25"/>
    <row r="271" s="15" customFormat="1" ht="13.8" x14ac:dyDescent="0.25"/>
    <row r="272" s="15" customFormat="1" ht="13.8" x14ac:dyDescent="0.25"/>
    <row r="273" s="15" customFormat="1" ht="13.8" x14ac:dyDescent="0.25"/>
    <row r="274" s="15" customFormat="1" ht="13.8" x14ac:dyDescent="0.25"/>
    <row r="275" s="15" customFormat="1" ht="13.8" x14ac:dyDescent="0.25"/>
    <row r="276" s="15" customFormat="1" ht="13.8" x14ac:dyDescent="0.25"/>
    <row r="277" s="15" customFormat="1" ht="13.8" x14ac:dyDescent="0.25"/>
    <row r="278" s="15" customFormat="1" ht="13.8" x14ac:dyDescent="0.25"/>
    <row r="279" s="15" customFormat="1" ht="13.8" x14ac:dyDescent="0.25"/>
    <row r="280" s="15" customFormat="1" ht="13.8" x14ac:dyDescent="0.25"/>
    <row r="281" s="15" customFormat="1" ht="13.8" x14ac:dyDescent="0.25"/>
    <row r="282" s="15" customFormat="1" ht="13.8" x14ac:dyDescent="0.25"/>
    <row r="283" s="15" customFormat="1" ht="13.8" x14ac:dyDescent="0.25"/>
    <row r="284" s="15" customFormat="1" ht="13.8" x14ac:dyDescent="0.25"/>
    <row r="285" s="15" customFormat="1" ht="13.8" x14ac:dyDescent="0.25"/>
    <row r="286" s="15" customFormat="1" ht="13.8" x14ac:dyDescent="0.25"/>
    <row r="287" s="15" customFormat="1" ht="13.8" x14ac:dyDescent="0.25"/>
    <row r="288" s="15" customFormat="1" ht="13.8" x14ac:dyDescent="0.25"/>
    <row r="289" s="15" customFormat="1" ht="13.8" x14ac:dyDescent="0.25"/>
    <row r="290" s="15" customFormat="1" ht="13.8" x14ac:dyDescent="0.25"/>
    <row r="291" s="15" customFormat="1" ht="13.8" x14ac:dyDescent="0.25"/>
    <row r="292" s="15" customFormat="1" ht="13.8" x14ac:dyDescent="0.25"/>
    <row r="293" s="15" customFormat="1" ht="13.8" x14ac:dyDescent="0.25"/>
    <row r="294" s="15" customFormat="1" ht="13.8" x14ac:dyDescent="0.25"/>
    <row r="295" s="15" customFormat="1" ht="13.8" x14ac:dyDescent="0.25"/>
    <row r="296" s="15" customFormat="1" ht="13.8" x14ac:dyDescent="0.25"/>
    <row r="297" s="15" customFormat="1" ht="13.8" x14ac:dyDescent="0.25"/>
    <row r="298" s="15" customFormat="1" ht="13.8" x14ac:dyDescent="0.25"/>
    <row r="299" s="15" customFormat="1" ht="13.8" x14ac:dyDescent="0.25"/>
    <row r="300" s="15" customFormat="1" ht="13.8" x14ac:dyDescent="0.25"/>
    <row r="301" s="15" customFormat="1" ht="13.8" x14ac:dyDescent="0.25"/>
    <row r="302" s="15" customFormat="1" ht="13.8" x14ac:dyDescent="0.25"/>
    <row r="303" s="15" customFormat="1" ht="13.8" x14ac:dyDescent="0.25"/>
    <row r="304" s="15" customFormat="1" ht="13.8" x14ac:dyDescent="0.25"/>
    <row r="305" s="15" customFormat="1" ht="13.8" x14ac:dyDescent="0.25"/>
    <row r="306" s="15" customFormat="1" ht="13.8" x14ac:dyDescent="0.25"/>
    <row r="307" s="15" customFormat="1" ht="13.8" x14ac:dyDescent="0.25"/>
    <row r="308" s="15" customFormat="1" ht="13.8" x14ac:dyDescent="0.25"/>
    <row r="309" s="15" customFormat="1" ht="13.8" x14ac:dyDescent="0.25"/>
    <row r="310" s="15" customFormat="1" ht="13.8" x14ac:dyDescent="0.25"/>
    <row r="311" s="15" customFormat="1" ht="13.8" x14ac:dyDescent="0.25"/>
    <row r="312" s="15" customFormat="1" ht="13.8" x14ac:dyDescent="0.25"/>
    <row r="313" s="15" customFormat="1" ht="13.8" x14ac:dyDescent="0.25"/>
    <row r="314" s="15" customFormat="1" ht="13.8" x14ac:dyDescent="0.25"/>
    <row r="315" s="15" customFormat="1" ht="13.8" x14ac:dyDescent="0.25"/>
    <row r="316" s="15" customFormat="1" ht="13.8" x14ac:dyDescent="0.25"/>
    <row r="317" s="15" customFormat="1" ht="13.8" x14ac:dyDescent="0.25"/>
    <row r="318" s="15" customFormat="1" ht="13.8" x14ac:dyDescent="0.25"/>
    <row r="319" s="15" customFormat="1" ht="13.8" x14ac:dyDescent="0.25"/>
    <row r="320" s="15" customFormat="1" ht="13.8" x14ac:dyDescent="0.25"/>
    <row r="321" s="15" customFormat="1" ht="13.8" x14ac:dyDescent="0.25"/>
    <row r="322" s="15" customFormat="1" ht="13.8" x14ac:dyDescent="0.25"/>
    <row r="323" s="15" customFormat="1" ht="13.8" x14ac:dyDescent="0.25"/>
    <row r="324" s="15" customFormat="1" ht="13.8" x14ac:dyDescent="0.25"/>
    <row r="325" s="15" customFormat="1" ht="13.8" x14ac:dyDescent="0.25"/>
    <row r="326" s="15" customFormat="1" ht="13.8" x14ac:dyDescent="0.25"/>
    <row r="327" s="15" customFormat="1" ht="13.8" x14ac:dyDescent="0.25"/>
    <row r="328" s="15" customFormat="1" ht="13.8" x14ac:dyDescent="0.25"/>
    <row r="329" s="15" customFormat="1" ht="13.8" x14ac:dyDescent="0.25"/>
    <row r="330" s="15" customFormat="1" ht="13.8" x14ac:dyDescent="0.25"/>
    <row r="331" s="15" customFormat="1" ht="13.8" x14ac:dyDescent="0.25"/>
    <row r="332" s="15" customFormat="1" ht="13.8" x14ac:dyDescent="0.25"/>
    <row r="333" s="15" customFormat="1" ht="13.8" x14ac:dyDescent="0.25"/>
    <row r="334" s="15" customFormat="1" ht="13.8" x14ac:dyDescent="0.25"/>
    <row r="335" s="15" customFormat="1" ht="13.8" x14ac:dyDescent="0.25"/>
    <row r="336" s="15" customFormat="1" ht="13.8" x14ac:dyDescent="0.25"/>
    <row r="337" s="15" customFormat="1" ht="13.8" x14ac:dyDescent="0.25"/>
    <row r="338" s="15" customFormat="1" ht="13.8" x14ac:dyDescent="0.25"/>
    <row r="339" s="15" customFormat="1" ht="13.8" x14ac:dyDescent="0.25"/>
    <row r="340" s="15" customFormat="1" ht="13.8" x14ac:dyDescent="0.25"/>
    <row r="341" s="15" customFormat="1" ht="13.8" x14ac:dyDescent="0.25"/>
    <row r="342" s="15" customFormat="1" ht="13.8" x14ac:dyDescent="0.25"/>
    <row r="343" s="15" customFormat="1" ht="13.8" x14ac:dyDescent="0.25"/>
    <row r="344" s="15" customFormat="1" ht="13.8" x14ac:dyDescent="0.25"/>
    <row r="345" s="15" customFormat="1" ht="13.8" x14ac:dyDescent="0.25"/>
    <row r="346" s="15" customFormat="1" ht="13.8" x14ac:dyDescent="0.25"/>
    <row r="347" s="15" customFormat="1" ht="13.8" x14ac:dyDescent="0.25"/>
    <row r="348" s="15" customFormat="1" ht="13.8" x14ac:dyDescent="0.25"/>
    <row r="349" s="15" customFormat="1" ht="13.8" x14ac:dyDescent="0.25"/>
    <row r="350" s="15" customFormat="1" ht="13.8" x14ac:dyDescent="0.25"/>
    <row r="351" s="15" customFormat="1" ht="13.8" x14ac:dyDescent="0.25"/>
    <row r="352" s="15" customFormat="1" ht="13.8" x14ac:dyDescent="0.25"/>
    <row r="353" s="15" customFormat="1" ht="13.8" x14ac:dyDescent="0.25"/>
    <row r="354" s="15" customFormat="1" ht="13.8" x14ac:dyDescent="0.25"/>
    <row r="355" s="15" customFormat="1" ht="13.8" x14ac:dyDescent="0.25"/>
    <row r="356" s="15" customFormat="1" ht="13.8" x14ac:dyDescent="0.25"/>
    <row r="357" s="15" customFormat="1" ht="13.8" x14ac:dyDescent="0.25"/>
    <row r="358" s="15" customFormat="1" ht="13.8" x14ac:dyDescent="0.25"/>
    <row r="359" s="15" customFormat="1" ht="13.8" x14ac:dyDescent="0.25"/>
    <row r="360" s="15" customFormat="1" ht="13.8" x14ac:dyDescent="0.25"/>
    <row r="361" s="15" customFormat="1" ht="13.8" x14ac:dyDescent="0.25"/>
    <row r="362" s="15" customFormat="1" ht="13.8" x14ac:dyDescent="0.25"/>
    <row r="363" s="15" customFormat="1" ht="13.8" x14ac:dyDescent="0.25"/>
    <row r="364" s="15" customFormat="1" ht="13.8" x14ac:dyDescent="0.25"/>
    <row r="365" s="15" customFormat="1" ht="13.8" x14ac:dyDescent="0.25"/>
    <row r="366" s="15" customFormat="1" ht="13.8" x14ac:dyDescent="0.25"/>
    <row r="367" s="15" customFormat="1" ht="13.8" x14ac:dyDescent="0.25"/>
    <row r="368" s="15" customFormat="1" ht="13.8" x14ac:dyDescent="0.25"/>
    <row r="369" s="15" customFormat="1" ht="13.8" x14ac:dyDescent="0.25"/>
    <row r="370" s="15" customFormat="1" ht="13.8" x14ac:dyDescent="0.25"/>
    <row r="371" s="15" customFormat="1" ht="13.8" x14ac:dyDescent="0.25"/>
    <row r="372" s="15" customFormat="1" ht="13.8" x14ac:dyDescent="0.25"/>
    <row r="373" s="15" customFormat="1" ht="13.8" x14ac:dyDescent="0.25"/>
    <row r="374" s="15" customFormat="1" ht="13.8" x14ac:dyDescent="0.25"/>
    <row r="375" s="15" customFormat="1" ht="13.8" x14ac:dyDescent="0.25"/>
    <row r="376" s="15" customFormat="1" ht="13.8" x14ac:dyDescent="0.25"/>
    <row r="377" s="15" customFormat="1" ht="13.8" x14ac:dyDescent="0.25"/>
    <row r="378" s="15" customFormat="1" ht="13.8" x14ac:dyDescent="0.25"/>
    <row r="379" s="15" customFormat="1" ht="13.8" x14ac:dyDescent="0.25"/>
    <row r="380" s="15" customFormat="1" ht="13.8" x14ac:dyDescent="0.25"/>
    <row r="381" s="15" customFormat="1" ht="13.8" x14ac:dyDescent="0.25"/>
    <row r="382" s="15" customFormat="1" ht="13.8" x14ac:dyDescent="0.25"/>
    <row r="383" s="15" customFormat="1" ht="13.8" x14ac:dyDescent="0.25"/>
    <row r="384" s="15" customFormat="1" ht="13.8" x14ac:dyDescent="0.25"/>
    <row r="385" s="15" customFormat="1" ht="13.8" x14ac:dyDescent="0.25"/>
    <row r="386" s="15" customFormat="1" ht="13.8" x14ac:dyDescent="0.25"/>
    <row r="387" s="15" customFormat="1" ht="13.8" x14ac:dyDescent="0.25"/>
    <row r="388" s="15" customFormat="1" ht="13.8" x14ac:dyDescent="0.25"/>
    <row r="389" s="15" customFormat="1" ht="13.8" x14ac:dyDescent="0.25"/>
    <row r="390" s="15" customFormat="1" ht="13.8" x14ac:dyDescent="0.25"/>
    <row r="391" s="15" customFormat="1" ht="13.8" x14ac:dyDescent="0.25"/>
    <row r="392" s="15" customFormat="1" ht="13.8" x14ac:dyDescent="0.25"/>
    <row r="393" s="15" customFormat="1" ht="13.8" x14ac:dyDescent="0.25"/>
    <row r="394" s="15" customFormat="1" ht="13.8" x14ac:dyDescent="0.25"/>
    <row r="395" s="15" customFormat="1" ht="13.8" x14ac:dyDescent="0.25"/>
    <row r="396" s="15" customFormat="1" ht="13.8" x14ac:dyDescent="0.25"/>
    <row r="397" s="15" customFormat="1" ht="13.8" x14ac:dyDescent="0.25"/>
    <row r="398" s="15" customFormat="1" ht="13.8" x14ac:dyDescent="0.25"/>
    <row r="399" s="15" customFormat="1" ht="13.8" x14ac:dyDescent="0.25"/>
    <row r="400" s="15" customFormat="1" ht="13.8" x14ac:dyDescent="0.25"/>
    <row r="401" s="15" customFormat="1" ht="13.8" x14ac:dyDescent="0.25"/>
    <row r="402" s="15" customFormat="1" ht="13.8" x14ac:dyDescent="0.25"/>
    <row r="403" s="15" customFormat="1" ht="13.8" x14ac:dyDescent="0.25"/>
    <row r="404" s="15" customFormat="1" ht="13.8" x14ac:dyDescent="0.25"/>
    <row r="405" s="15" customFormat="1" ht="13.8" x14ac:dyDescent="0.25"/>
    <row r="406" s="15" customFormat="1" ht="13.8" x14ac:dyDescent="0.25"/>
    <row r="407" s="15" customFormat="1" ht="13.8" x14ac:dyDescent="0.25"/>
    <row r="408" s="15" customFormat="1" ht="13.8" x14ac:dyDescent="0.25"/>
    <row r="409" s="15" customFormat="1" ht="13.8" x14ac:dyDescent="0.25"/>
    <row r="410" s="15" customFormat="1" ht="13.8" x14ac:dyDescent="0.25"/>
    <row r="411" s="15" customFormat="1" ht="13.8" x14ac:dyDescent="0.25"/>
    <row r="412" s="15" customFormat="1" ht="13.8" x14ac:dyDescent="0.25"/>
    <row r="413" s="15" customFormat="1" ht="13.8" x14ac:dyDescent="0.25"/>
    <row r="414" s="15" customFormat="1" ht="13.8" x14ac:dyDescent="0.25"/>
    <row r="415" s="15" customFormat="1" ht="13.8" x14ac:dyDescent="0.25"/>
    <row r="416" s="15" customFormat="1" ht="13.8" x14ac:dyDescent="0.25"/>
    <row r="417" s="15" customFormat="1" ht="13.8" x14ac:dyDescent="0.25"/>
    <row r="418" s="15" customFormat="1" ht="13.8" x14ac:dyDescent="0.25"/>
    <row r="419" s="15" customFormat="1" ht="13.8" x14ac:dyDescent="0.25"/>
    <row r="420" s="15" customFormat="1" ht="13.8" x14ac:dyDescent="0.25"/>
    <row r="421" s="15" customFormat="1" ht="13.8" x14ac:dyDescent="0.25"/>
    <row r="422" s="15" customFormat="1" ht="13.8" x14ac:dyDescent="0.25"/>
    <row r="423" s="15" customFormat="1" ht="13.8" x14ac:dyDescent="0.25"/>
    <row r="424" s="15" customFormat="1" ht="13.8" x14ac:dyDescent="0.25"/>
    <row r="425" s="15" customFormat="1" ht="13.8" x14ac:dyDescent="0.25"/>
    <row r="426" s="15" customFormat="1" ht="13.8" x14ac:dyDescent="0.25"/>
    <row r="427" s="15" customFormat="1" ht="13.8" x14ac:dyDescent="0.25"/>
    <row r="428" s="15" customFormat="1" ht="13.8" x14ac:dyDescent="0.25"/>
    <row r="429" s="15" customFormat="1" ht="13.8" x14ac:dyDescent="0.25"/>
    <row r="430" s="15" customFormat="1" ht="13.8" x14ac:dyDescent="0.25"/>
    <row r="431" s="15" customFormat="1" ht="13.8" x14ac:dyDescent="0.25"/>
    <row r="432" s="15" customFormat="1" ht="13.8" x14ac:dyDescent="0.25"/>
    <row r="433" s="15" customFormat="1" ht="13.8" x14ac:dyDescent="0.25"/>
    <row r="434" s="15" customFormat="1" ht="13.8" x14ac:dyDescent="0.25"/>
    <row r="435" s="15" customFormat="1" ht="13.8" x14ac:dyDescent="0.25"/>
    <row r="436" s="15" customFormat="1" ht="13.8" x14ac:dyDescent="0.25"/>
    <row r="437" s="15" customFormat="1" ht="13.8" x14ac:dyDescent="0.25"/>
    <row r="438" s="15" customFormat="1" ht="13.8" x14ac:dyDescent="0.25"/>
    <row r="439" s="15" customFormat="1" ht="13.8" x14ac:dyDescent="0.25"/>
    <row r="440" s="15" customFormat="1" ht="13.8" x14ac:dyDescent="0.25"/>
    <row r="441" s="15" customFormat="1" ht="13.8" x14ac:dyDescent="0.25"/>
    <row r="442" s="15" customFormat="1" ht="13.8" x14ac:dyDescent="0.25"/>
    <row r="443" s="15" customFormat="1" ht="13.8" x14ac:dyDescent="0.25"/>
    <row r="444" s="15" customFormat="1" ht="13.8" x14ac:dyDescent="0.25"/>
    <row r="445" s="15" customFormat="1" ht="13.8" x14ac:dyDescent="0.25"/>
    <row r="446" s="15" customFormat="1" ht="13.8" x14ac:dyDescent="0.25"/>
    <row r="447" s="15" customFormat="1" ht="13.8" x14ac:dyDescent="0.25"/>
    <row r="448" s="15" customFormat="1" ht="13.8" x14ac:dyDescent="0.25"/>
    <row r="449" s="15" customFormat="1" ht="13.8" x14ac:dyDescent="0.25"/>
    <row r="450" s="15" customFormat="1" ht="13.8" x14ac:dyDescent="0.25"/>
    <row r="451" s="15" customFormat="1" ht="13.8" x14ac:dyDescent="0.25"/>
    <row r="452" s="15" customFormat="1" ht="13.8" x14ac:dyDescent="0.25"/>
    <row r="453" s="15" customFormat="1" ht="13.8" x14ac:dyDescent="0.25"/>
    <row r="454" s="15" customFormat="1" ht="13.8" x14ac:dyDescent="0.25"/>
    <row r="455" s="15" customFormat="1" ht="13.8" x14ac:dyDescent="0.25"/>
    <row r="456" s="15" customFormat="1" ht="13.8" x14ac:dyDescent="0.25"/>
    <row r="457" s="15" customFormat="1" ht="13.8" x14ac:dyDescent="0.25"/>
    <row r="458" s="15" customFormat="1" ht="13.8" x14ac:dyDescent="0.25"/>
    <row r="459" s="15" customFormat="1" ht="13.8" x14ac:dyDescent="0.25"/>
    <row r="460" s="15" customFormat="1" ht="13.8" x14ac:dyDescent="0.25"/>
    <row r="461" s="15" customFormat="1" ht="13.8" x14ac:dyDescent="0.25"/>
    <row r="462" s="15" customFormat="1" ht="13.8" x14ac:dyDescent="0.25"/>
    <row r="463" s="15" customFormat="1" ht="13.8" x14ac:dyDescent="0.25"/>
    <row r="464" s="15" customFormat="1" ht="13.8" x14ac:dyDescent="0.25"/>
    <row r="465" s="15" customFormat="1" ht="13.8" x14ac:dyDescent="0.25"/>
    <row r="466" s="15" customFormat="1" ht="13.8" x14ac:dyDescent="0.25"/>
    <row r="467" s="15" customFormat="1" ht="13.8" x14ac:dyDescent="0.25"/>
    <row r="468" s="15" customFormat="1" ht="13.8" x14ac:dyDescent="0.25"/>
    <row r="469" s="15" customFormat="1" ht="13.8" x14ac:dyDescent="0.25"/>
    <row r="470" s="15" customFormat="1" ht="13.8" x14ac:dyDescent="0.25"/>
    <row r="471" s="15" customFormat="1" ht="13.8" x14ac:dyDescent="0.25"/>
    <row r="472" s="15" customFormat="1" ht="13.8" x14ac:dyDescent="0.25"/>
    <row r="473" s="15" customFormat="1" ht="13.8" x14ac:dyDescent="0.25"/>
    <row r="474" s="15" customFormat="1" ht="13.8" x14ac:dyDescent="0.25"/>
    <row r="475" s="15" customFormat="1" ht="13.8" x14ac:dyDescent="0.25"/>
    <row r="476" s="15" customFormat="1" ht="13.8" x14ac:dyDescent="0.25"/>
    <row r="477" s="15" customFormat="1" ht="13.8" x14ac:dyDescent="0.25"/>
    <row r="478" s="15" customFormat="1" ht="13.8" x14ac:dyDescent="0.25"/>
    <row r="479" s="15" customFormat="1" ht="13.8" x14ac:dyDescent="0.25"/>
    <row r="480" s="15" customFormat="1" ht="13.8" x14ac:dyDescent="0.25"/>
    <row r="481" s="15" customFormat="1" ht="13.8" x14ac:dyDescent="0.25"/>
    <row r="482" s="15" customFormat="1" ht="13.8" x14ac:dyDescent="0.25"/>
    <row r="483" s="15" customFormat="1" ht="13.8" x14ac:dyDescent="0.25"/>
    <row r="484" s="15" customFormat="1" ht="13.8" x14ac:dyDescent="0.25"/>
    <row r="485" s="15" customFormat="1" ht="13.8" x14ac:dyDescent="0.25"/>
    <row r="486" s="15" customFormat="1" ht="13.8" x14ac:dyDescent="0.25"/>
    <row r="487" s="15" customFormat="1" ht="13.8" x14ac:dyDescent="0.25"/>
    <row r="488" s="15" customFormat="1" ht="13.8" x14ac:dyDescent="0.25"/>
    <row r="489" s="15" customFormat="1" ht="13.8" x14ac:dyDescent="0.25"/>
    <row r="490" s="15" customFormat="1" ht="13.8" x14ac:dyDescent="0.25"/>
    <row r="491" s="15" customFormat="1" ht="13.8" x14ac:dyDescent="0.25"/>
    <row r="492" s="15" customFormat="1" ht="13.8" x14ac:dyDescent="0.25"/>
    <row r="493" s="15" customFormat="1" ht="13.8" x14ac:dyDescent="0.25"/>
    <row r="494" s="15" customFormat="1" ht="13.8" x14ac:dyDescent="0.25"/>
    <row r="495" s="15" customFormat="1" ht="13.8" x14ac:dyDescent="0.25"/>
    <row r="496" s="15" customFormat="1" ht="13.8" x14ac:dyDescent="0.25"/>
    <row r="497" s="15" customFormat="1" ht="13.8" x14ac:dyDescent="0.25"/>
    <row r="498" s="15" customFormat="1" ht="13.8" x14ac:dyDescent="0.25"/>
    <row r="499" s="15" customFormat="1" ht="13.8" x14ac:dyDescent="0.25"/>
    <row r="500" s="15" customFormat="1" ht="13.8" x14ac:dyDescent="0.25"/>
    <row r="501" s="15" customFormat="1" ht="13.8" x14ac:dyDescent="0.25"/>
    <row r="502" s="15" customFormat="1" ht="13.8" x14ac:dyDescent="0.25"/>
    <row r="503" s="15" customFormat="1" ht="13.8" x14ac:dyDescent="0.25"/>
    <row r="504" s="15" customFormat="1" ht="13.8" x14ac:dyDescent="0.25"/>
    <row r="505" s="15" customFormat="1" ht="13.8" x14ac:dyDescent="0.25"/>
    <row r="506" s="15" customFormat="1" ht="13.8" x14ac:dyDescent="0.25"/>
    <row r="507" s="15" customFormat="1" ht="13.8" x14ac:dyDescent="0.25"/>
    <row r="508" s="15" customFormat="1" ht="13.8" x14ac:dyDescent="0.25"/>
    <row r="509" s="15" customFormat="1" ht="13.8" x14ac:dyDescent="0.25"/>
    <row r="510" s="15" customFormat="1" ht="13.8" x14ac:dyDescent="0.25"/>
    <row r="511" s="15" customFormat="1" ht="13.8" x14ac:dyDescent="0.25"/>
    <row r="512" s="15" customFormat="1" ht="13.8" x14ac:dyDescent="0.25"/>
    <row r="513" s="15" customFormat="1" ht="13.8" x14ac:dyDescent="0.25"/>
    <row r="514" s="15" customFormat="1" ht="13.8" x14ac:dyDescent="0.25"/>
    <row r="515" s="15" customFormat="1" ht="13.8" x14ac:dyDescent="0.25"/>
    <row r="516" s="15" customFormat="1" ht="13.8" x14ac:dyDescent="0.25"/>
    <row r="517" s="15" customFormat="1" ht="13.8" x14ac:dyDescent="0.25"/>
    <row r="518" s="15" customFormat="1" ht="13.8" x14ac:dyDescent="0.25"/>
    <row r="519" s="15" customFormat="1" ht="13.8" x14ac:dyDescent="0.25"/>
    <row r="520" s="15" customFormat="1" ht="13.8" x14ac:dyDescent="0.25"/>
    <row r="521" s="15" customFormat="1" ht="13.8" x14ac:dyDescent="0.25"/>
    <row r="522" s="15" customFormat="1" ht="13.8" x14ac:dyDescent="0.25"/>
    <row r="523" s="15" customFormat="1" ht="13.8" x14ac:dyDescent="0.25"/>
    <row r="524" s="15" customFormat="1" ht="13.8" x14ac:dyDescent="0.25"/>
    <row r="525" s="15" customFormat="1" ht="13.8" x14ac:dyDescent="0.25"/>
    <row r="526" s="15" customFormat="1" ht="13.8" x14ac:dyDescent="0.25"/>
    <row r="527" s="15" customFormat="1" ht="13.8" x14ac:dyDescent="0.25"/>
    <row r="528" s="15" customFormat="1" ht="13.8" x14ac:dyDescent="0.25"/>
    <row r="529" s="15" customFormat="1" ht="13.8" x14ac:dyDescent="0.25"/>
    <row r="530" s="15" customFormat="1" ht="13.8" x14ac:dyDescent="0.25"/>
    <row r="531" s="15" customFormat="1" ht="13.8" x14ac:dyDescent="0.25"/>
    <row r="532" s="15" customFormat="1" ht="13.8" x14ac:dyDescent="0.25"/>
    <row r="533" s="15" customFormat="1" ht="13.8" x14ac:dyDescent="0.25"/>
    <row r="534" s="15" customFormat="1" ht="13.8" x14ac:dyDescent="0.25"/>
    <row r="535" s="15" customFormat="1" ht="13.8" x14ac:dyDescent="0.25"/>
    <row r="536" s="15" customFormat="1" ht="13.8" x14ac:dyDescent="0.25"/>
    <row r="537" s="15" customFormat="1" ht="13.8" x14ac:dyDescent="0.25"/>
    <row r="538" s="15" customFormat="1" ht="13.8" x14ac:dyDescent="0.25"/>
    <row r="539" s="15" customFormat="1" ht="13.8" x14ac:dyDescent="0.25"/>
    <row r="540" s="15" customFormat="1" ht="13.8" x14ac:dyDescent="0.25"/>
    <row r="541" s="15" customFormat="1" ht="13.8" x14ac:dyDescent="0.25"/>
    <row r="542" s="15" customFormat="1" ht="13.8" x14ac:dyDescent="0.25"/>
    <row r="543" s="15" customFormat="1" ht="13.8" x14ac:dyDescent="0.25"/>
    <row r="544" s="15" customFormat="1" ht="13.8" x14ac:dyDescent="0.25"/>
    <row r="545" s="15" customFormat="1" ht="13.8" x14ac:dyDescent="0.25"/>
    <row r="546" s="15" customFormat="1" ht="13.8" x14ac:dyDescent="0.25"/>
    <row r="547" s="15" customFormat="1" ht="13.8" x14ac:dyDescent="0.25"/>
    <row r="548" s="15" customFormat="1" ht="13.8" x14ac:dyDescent="0.25"/>
    <row r="549" s="15" customFormat="1" ht="13.8" x14ac:dyDescent="0.25"/>
    <row r="550" s="15" customFormat="1" ht="13.8" x14ac:dyDescent="0.25"/>
    <row r="551" s="15" customFormat="1" ht="13.8" x14ac:dyDescent="0.25"/>
    <row r="552" s="15" customFormat="1" ht="13.8" x14ac:dyDescent="0.25"/>
    <row r="553" s="15" customFormat="1" ht="13.8" x14ac:dyDescent="0.25"/>
    <row r="554" s="15" customFormat="1" ht="13.8" x14ac:dyDescent="0.25"/>
    <row r="555" s="15" customFormat="1" ht="13.8" x14ac:dyDescent="0.25"/>
    <row r="556" s="15" customFormat="1" ht="13.8" x14ac:dyDescent="0.25"/>
    <row r="557" s="15" customFormat="1" ht="13.8" x14ac:dyDescent="0.25"/>
    <row r="558" s="15" customFormat="1" ht="13.8" x14ac:dyDescent="0.25"/>
    <row r="559" s="15" customFormat="1" ht="13.8" x14ac:dyDescent="0.25"/>
    <row r="560" s="15" customFormat="1" ht="13.8" x14ac:dyDescent="0.25"/>
    <row r="561" s="15" customFormat="1" ht="13.8" x14ac:dyDescent="0.25"/>
    <row r="562" s="15" customFormat="1" ht="13.8" x14ac:dyDescent="0.25"/>
    <row r="563" s="15" customFormat="1" ht="13.8" x14ac:dyDescent="0.25"/>
    <row r="564" s="15" customFormat="1" ht="13.8" x14ac:dyDescent="0.25"/>
    <row r="565" s="15" customFormat="1" ht="13.8" x14ac:dyDescent="0.25"/>
    <row r="566" s="15" customFormat="1" ht="13.8" x14ac:dyDescent="0.25"/>
    <row r="567" s="15" customFormat="1" ht="13.8" x14ac:dyDescent="0.25"/>
    <row r="568" s="15" customFormat="1" ht="13.8" x14ac:dyDescent="0.25"/>
    <row r="569" s="15" customFormat="1" ht="13.8" x14ac:dyDescent="0.25"/>
    <row r="570" s="15" customFormat="1" ht="13.8" x14ac:dyDescent="0.25"/>
    <row r="571" s="15" customFormat="1" ht="13.8" x14ac:dyDescent="0.25"/>
    <row r="572" s="15" customFormat="1" ht="13.8" x14ac:dyDescent="0.25"/>
    <row r="573" s="15" customFormat="1" ht="13.8" x14ac:dyDescent="0.25"/>
    <row r="574" s="15" customFormat="1" ht="13.8" x14ac:dyDescent="0.25"/>
    <row r="575" s="15" customFormat="1" ht="13.8" x14ac:dyDescent="0.25"/>
    <row r="576" s="15" customFormat="1" ht="13.8" x14ac:dyDescent="0.25"/>
    <row r="577" s="15" customFormat="1" ht="13.8" x14ac:dyDescent="0.25"/>
    <row r="578" s="15" customFormat="1" ht="13.8" x14ac:dyDescent="0.25"/>
    <row r="579" s="15" customFormat="1" ht="13.8" x14ac:dyDescent="0.25"/>
    <row r="580" s="15" customFormat="1" ht="13.8" x14ac:dyDescent="0.25"/>
    <row r="581" s="15" customFormat="1" ht="13.8" x14ac:dyDescent="0.25"/>
    <row r="582" s="15" customFormat="1" ht="13.8" x14ac:dyDescent="0.25"/>
    <row r="583" s="15" customFormat="1" ht="13.8" x14ac:dyDescent="0.25"/>
    <row r="584" s="15" customFormat="1" ht="13.8" x14ac:dyDescent="0.25"/>
    <row r="585" s="15" customFormat="1" ht="13.8" x14ac:dyDescent="0.25"/>
    <row r="586" s="15" customFormat="1" ht="13.8" x14ac:dyDescent="0.25"/>
    <row r="587" s="15" customFormat="1" ht="13.8" x14ac:dyDescent="0.25"/>
    <row r="588" s="15" customFormat="1" ht="13.8" x14ac:dyDescent="0.25"/>
    <row r="589" s="15" customFormat="1" ht="13.8" x14ac:dyDescent="0.25"/>
    <row r="590" s="15" customFormat="1" ht="13.8" x14ac:dyDescent="0.25"/>
    <row r="591" s="15" customFormat="1" ht="13.8" x14ac:dyDescent="0.25"/>
    <row r="592" s="15" customFormat="1" ht="13.8" x14ac:dyDescent="0.25"/>
    <row r="593" s="15" customFormat="1" ht="13.8" x14ac:dyDescent="0.25"/>
    <row r="594" s="15" customFormat="1" ht="13.8" x14ac:dyDescent="0.25"/>
    <row r="595" s="15" customFormat="1" ht="13.8" x14ac:dyDescent="0.25"/>
    <row r="596" s="15" customFormat="1" ht="13.8" x14ac:dyDescent="0.25"/>
    <row r="597" s="15" customFormat="1" ht="13.8" x14ac:dyDescent="0.25"/>
    <row r="598" s="15" customFormat="1" ht="13.8" x14ac:dyDescent="0.25"/>
    <row r="599" s="15" customFormat="1" ht="13.8" x14ac:dyDescent="0.25"/>
    <row r="600" s="15" customFormat="1" ht="13.8" x14ac:dyDescent="0.25"/>
    <row r="601" s="15" customFormat="1" ht="13.8" x14ac:dyDescent="0.25"/>
    <row r="602" s="15" customFormat="1" ht="13.8" x14ac:dyDescent="0.25"/>
    <row r="603" s="15" customFormat="1" ht="13.8" x14ac:dyDescent="0.25"/>
    <row r="604" s="15" customFormat="1" ht="13.8" x14ac:dyDescent="0.25"/>
    <row r="605" s="15" customFormat="1" ht="13.8" x14ac:dyDescent="0.25"/>
    <row r="606" s="15" customFormat="1" ht="13.8" x14ac:dyDescent="0.25"/>
    <row r="607" s="15" customFormat="1" ht="13.8" x14ac:dyDescent="0.25"/>
    <row r="608" s="15" customFormat="1" ht="13.8" x14ac:dyDescent="0.25"/>
    <row r="609" s="15" customFormat="1" ht="13.8" x14ac:dyDescent="0.25"/>
    <row r="610" s="15" customFormat="1" ht="13.8" x14ac:dyDescent="0.25"/>
    <row r="611" s="15" customFormat="1" ht="13.8" x14ac:dyDescent="0.25"/>
    <row r="612" s="15" customFormat="1" ht="13.8" x14ac:dyDescent="0.25"/>
    <row r="613" s="15" customFormat="1" ht="13.8" x14ac:dyDescent="0.25"/>
    <row r="614" s="15" customFormat="1" ht="13.8" x14ac:dyDescent="0.25"/>
    <row r="615" s="15" customFormat="1" ht="13.8" x14ac:dyDescent="0.25"/>
    <row r="616" s="15" customFormat="1" ht="13.8" x14ac:dyDescent="0.25"/>
    <row r="617" s="15" customFormat="1" ht="13.8" x14ac:dyDescent="0.25"/>
    <row r="618" s="15" customFormat="1" ht="13.8" x14ac:dyDescent="0.25"/>
    <row r="619" s="15" customFormat="1" ht="13.8" x14ac:dyDescent="0.25"/>
    <row r="620" s="15" customFormat="1" ht="13.8" x14ac:dyDescent="0.25"/>
    <row r="621" s="15" customFormat="1" ht="13.8" x14ac:dyDescent="0.25"/>
    <row r="622" s="15" customFormat="1" ht="13.8" x14ac:dyDescent="0.25"/>
    <row r="623" s="15" customFormat="1" ht="13.8" x14ac:dyDescent="0.25"/>
    <row r="624" s="15" customFormat="1" ht="13.8" x14ac:dyDescent="0.25"/>
    <row r="625" s="15" customFormat="1" ht="13.8" x14ac:dyDescent="0.25"/>
    <row r="626" s="15" customFormat="1" ht="13.8" x14ac:dyDescent="0.25"/>
    <row r="627" s="15" customFormat="1" ht="13.8" x14ac:dyDescent="0.25"/>
    <row r="628" s="15" customFormat="1" ht="13.8" x14ac:dyDescent="0.25"/>
    <row r="629" s="15" customFormat="1" ht="13.8" x14ac:dyDescent="0.25"/>
    <row r="630" s="15" customFormat="1" ht="13.8" x14ac:dyDescent="0.25"/>
    <row r="631" s="15" customFormat="1" ht="13.8" x14ac:dyDescent="0.25"/>
    <row r="632" s="15" customFormat="1" ht="13.8" x14ac:dyDescent="0.25"/>
    <row r="633" s="15" customFormat="1" ht="13.8" x14ac:dyDescent="0.25"/>
    <row r="634" s="15" customFormat="1" ht="13.8" x14ac:dyDescent="0.25"/>
    <row r="635" s="15" customFormat="1" ht="13.8" x14ac:dyDescent="0.25"/>
    <row r="636" s="15" customFormat="1" ht="13.8" x14ac:dyDescent="0.25"/>
    <row r="637" s="15" customFormat="1" ht="13.8" x14ac:dyDescent="0.25"/>
    <row r="638" s="15" customFormat="1" ht="13.8" x14ac:dyDescent="0.25"/>
    <row r="639" s="15" customFormat="1" ht="13.8" x14ac:dyDescent="0.25"/>
    <row r="640" s="15" customFormat="1" ht="13.8" x14ac:dyDescent="0.25"/>
    <row r="641" s="15" customFormat="1" ht="13.8" x14ac:dyDescent="0.25"/>
    <row r="642" s="15" customFormat="1" ht="13.8" x14ac:dyDescent="0.25"/>
    <row r="643" s="15" customFormat="1" ht="13.8" x14ac:dyDescent="0.25"/>
    <row r="644" s="15" customFormat="1" ht="13.8" x14ac:dyDescent="0.25"/>
    <row r="645" s="15" customFormat="1" ht="13.8" x14ac:dyDescent="0.25"/>
    <row r="646" s="15" customFormat="1" ht="13.8" x14ac:dyDescent="0.25"/>
    <row r="647" s="15" customFormat="1" ht="13.8" x14ac:dyDescent="0.25"/>
    <row r="648" s="15" customFormat="1" ht="13.8" x14ac:dyDescent="0.25"/>
    <row r="649" s="15" customFormat="1" ht="13.8" x14ac:dyDescent="0.25"/>
    <row r="650" s="15" customFormat="1" ht="13.8" x14ac:dyDescent="0.25"/>
    <row r="651" s="15" customFormat="1" ht="13.8" x14ac:dyDescent="0.25"/>
    <row r="652" s="15" customFormat="1" ht="13.8" x14ac:dyDescent="0.25"/>
    <row r="653" s="15" customFormat="1" ht="13.8" x14ac:dyDescent="0.25"/>
    <row r="654" s="15" customFormat="1" ht="13.8" x14ac:dyDescent="0.25"/>
    <row r="655" s="15" customFormat="1" ht="13.8" x14ac:dyDescent="0.25"/>
    <row r="656" s="15" customFormat="1" ht="13.8" x14ac:dyDescent="0.25"/>
    <row r="657" s="15" customFormat="1" ht="13.8" x14ac:dyDescent="0.25"/>
    <row r="658" s="15" customFormat="1" ht="13.8" x14ac:dyDescent="0.25"/>
    <row r="659" s="15" customFormat="1" ht="13.8" x14ac:dyDescent="0.25"/>
    <row r="660" s="15" customFormat="1" ht="13.8" x14ac:dyDescent="0.25"/>
    <row r="661" s="15" customFormat="1" ht="13.8" x14ac:dyDescent="0.25"/>
    <row r="662" s="15" customFormat="1" ht="13.8" x14ac:dyDescent="0.25"/>
    <row r="663" s="15" customFormat="1" ht="13.8" x14ac:dyDescent="0.25"/>
    <row r="664" s="15" customFormat="1" ht="13.8" x14ac:dyDescent="0.25"/>
    <row r="665" s="15" customFormat="1" ht="13.8" x14ac:dyDescent="0.25"/>
    <row r="666" s="15" customFormat="1" ht="13.8" x14ac:dyDescent="0.25"/>
    <row r="667" s="15" customFormat="1" ht="13.8" x14ac:dyDescent="0.25"/>
    <row r="668" s="15" customFormat="1" ht="13.8" x14ac:dyDescent="0.25"/>
    <row r="669" s="15" customFormat="1" ht="13.8" x14ac:dyDescent="0.25"/>
    <row r="670" s="15" customFormat="1" ht="13.8" x14ac:dyDescent="0.25"/>
    <row r="671" s="15" customFormat="1" ht="13.8" x14ac:dyDescent="0.25"/>
    <row r="672" s="15" customFormat="1" ht="13.8" x14ac:dyDescent="0.25"/>
    <row r="673" s="15" customFormat="1" ht="13.8" x14ac:dyDescent="0.25"/>
    <row r="674" s="15" customFormat="1" ht="13.8" x14ac:dyDescent="0.25"/>
    <row r="675" s="15" customFormat="1" ht="13.8" x14ac:dyDescent="0.25"/>
    <row r="676" s="15" customFormat="1" ht="13.8" x14ac:dyDescent="0.25"/>
    <row r="677" s="15" customFormat="1" ht="13.8" x14ac:dyDescent="0.25"/>
    <row r="678" s="15" customFormat="1" ht="13.8" x14ac:dyDescent="0.25"/>
    <row r="679" s="15" customFormat="1" ht="13.8" x14ac:dyDescent="0.25"/>
    <row r="680" s="15" customFormat="1" ht="13.8" x14ac:dyDescent="0.25"/>
    <row r="681" s="15" customFormat="1" ht="13.8" x14ac:dyDescent="0.25"/>
    <row r="682" s="15" customFormat="1" ht="13.8" x14ac:dyDescent="0.25"/>
    <row r="683" s="15" customFormat="1" ht="13.8" x14ac:dyDescent="0.25"/>
    <row r="684" s="15" customFormat="1" ht="13.8" x14ac:dyDescent="0.25"/>
    <row r="685" s="15" customFormat="1" ht="13.8" x14ac:dyDescent="0.25"/>
    <row r="686" s="15" customFormat="1" ht="13.8" x14ac:dyDescent="0.25"/>
    <row r="687" s="15" customFormat="1" ht="13.8" x14ac:dyDescent="0.25"/>
    <row r="688" s="15" customFormat="1" ht="13.8" x14ac:dyDescent="0.25"/>
    <row r="689" s="15" customFormat="1" ht="13.8" x14ac:dyDescent="0.25"/>
    <row r="690" s="15" customFormat="1" ht="13.8" x14ac:dyDescent="0.25"/>
    <row r="691" s="15" customFormat="1" ht="13.8" x14ac:dyDescent="0.25"/>
    <row r="692" s="15" customFormat="1" ht="13.8" x14ac:dyDescent="0.25"/>
    <row r="693" s="15" customFormat="1" ht="13.8" x14ac:dyDescent="0.25"/>
    <row r="694" s="15" customFormat="1" ht="13.8" x14ac:dyDescent="0.25"/>
    <row r="695" s="15" customFormat="1" ht="13.8" x14ac:dyDescent="0.25"/>
    <row r="696" s="15" customFormat="1" ht="13.8" x14ac:dyDescent="0.25"/>
    <row r="697" s="15" customFormat="1" ht="13.8" x14ac:dyDescent="0.25"/>
    <row r="698" s="15" customFormat="1" ht="13.8" x14ac:dyDescent="0.25"/>
    <row r="699" s="15" customFormat="1" ht="13.8" x14ac:dyDescent="0.25"/>
    <row r="700" s="15" customFormat="1" ht="13.8" x14ac:dyDescent="0.25"/>
    <row r="701" s="15" customFormat="1" ht="13.8" x14ac:dyDescent="0.25"/>
    <row r="702" s="15" customFormat="1" ht="13.8" x14ac:dyDescent="0.25"/>
    <row r="703" s="15" customFormat="1" ht="13.8" x14ac:dyDescent="0.25"/>
    <row r="704" s="15" customFormat="1" ht="13.8" x14ac:dyDescent="0.25"/>
    <row r="705" s="15" customFormat="1" ht="13.8" x14ac:dyDescent="0.25"/>
    <row r="706" s="15" customFormat="1" ht="13.8" x14ac:dyDescent="0.25"/>
    <row r="707" s="15" customFormat="1" ht="13.8" x14ac:dyDescent="0.25"/>
    <row r="708" s="15" customFormat="1" ht="13.8" x14ac:dyDescent="0.25"/>
    <row r="709" s="15" customFormat="1" ht="13.8" x14ac:dyDescent="0.25"/>
    <row r="710" s="15" customFormat="1" ht="13.8" x14ac:dyDescent="0.25"/>
    <row r="711" s="15" customFormat="1" ht="13.8" x14ac:dyDescent="0.25"/>
    <row r="712" s="15" customFormat="1" ht="13.8" x14ac:dyDescent="0.25"/>
    <row r="713" s="15" customFormat="1" ht="13.8" x14ac:dyDescent="0.25"/>
    <row r="714" s="15" customFormat="1" ht="13.8" x14ac:dyDescent="0.25"/>
    <row r="715" s="15" customFormat="1" ht="13.8" x14ac:dyDescent="0.25"/>
    <row r="716" s="15" customFormat="1" ht="13.8" x14ac:dyDescent="0.25"/>
    <row r="717" s="15" customFormat="1" ht="13.8" x14ac:dyDescent="0.25"/>
    <row r="718" s="15" customFormat="1" ht="13.8" x14ac:dyDescent="0.25"/>
    <row r="719" s="15" customFormat="1" ht="13.8" x14ac:dyDescent="0.25"/>
    <row r="720" s="15" customFormat="1" ht="13.8" x14ac:dyDescent="0.25"/>
    <row r="721" s="15" customFormat="1" ht="13.8" x14ac:dyDescent="0.25"/>
    <row r="722" s="15" customFormat="1" ht="13.8" x14ac:dyDescent="0.25"/>
    <row r="723" s="15" customFormat="1" ht="13.8" x14ac:dyDescent="0.25"/>
    <row r="724" s="15" customFormat="1" ht="13.8" x14ac:dyDescent="0.25"/>
    <row r="725" s="15" customFormat="1" ht="13.8" x14ac:dyDescent="0.25"/>
    <row r="726" s="15" customFormat="1" ht="13.8" x14ac:dyDescent="0.25"/>
    <row r="727" s="15" customFormat="1" ht="13.8" x14ac:dyDescent="0.25"/>
    <row r="728" s="15" customFormat="1" ht="13.8" x14ac:dyDescent="0.25"/>
    <row r="729" s="15" customFormat="1" ht="13.8" x14ac:dyDescent="0.25"/>
    <row r="730" s="15" customFormat="1" ht="13.8" x14ac:dyDescent="0.25"/>
    <row r="731" s="15" customFormat="1" ht="13.8" x14ac:dyDescent="0.25"/>
    <row r="732" s="15" customFormat="1" ht="13.8" x14ac:dyDescent="0.25"/>
    <row r="733" s="15" customFormat="1" ht="13.8" x14ac:dyDescent="0.25"/>
    <row r="734" s="15" customFormat="1" ht="13.8" x14ac:dyDescent="0.25"/>
    <row r="735" s="15" customFormat="1" ht="13.8" x14ac:dyDescent="0.25"/>
    <row r="736" s="15" customFormat="1" ht="13.8" x14ac:dyDescent="0.25"/>
    <row r="737" s="15" customFormat="1" ht="13.8" x14ac:dyDescent="0.25"/>
    <row r="738" s="15" customFormat="1" ht="13.8" x14ac:dyDescent="0.25"/>
    <row r="739" s="15" customFormat="1" ht="13.8" x14ac:dyDescent="0.25"/>
    <row r="740" s="15" customFormat="1" ht="13.8" x14ac:dyDescent="0.25"/>
    <row r="741" s="15" customFormat="1" ht="13.8" x14ac:dyDescent="0.25"/>
    <row r="742" s="15" customFormat="1" ht="13.8" x14ac:dyDescent="0.25"/>
    <row r="743" s="15" customFormat="1" ht="13.8" x14ac:dyDescent="0.25"/>
    <row r="744" s="15" customFormat="1" ht="13.8" x14ac:dyDescent="0.25"/>
    <row r="745" s="15" customFormat="1" ht="13.8" x14ac:dyDescent="0.25"/>
    <row r="746" s="15" customFormat="1" ht="13.8" x14ac:dyDescent="0.25"/>
    <row r="747" s="15" customFormat="1" ht="13.8" x14ac:dyDescent="0.25"/>
    <row r="748" s="15" customFormat="1" ht="13.8" x14ac:dyDescent="0.25"/>
    <row r="749" s="15" customFormat="1" ht="13.8" x14ac:dyDescent="0.25"/>
    <row r="750" s="15" customFormat="1" ht="13.8" x14ac:dyDescent="0.25"/>
    <row r="751" s="15" customFormat="1" ht="13.8" x14ac:dyDescent="0.25"/>
    <row r="752" s="15" customFormat="1" ht="13.8" x14ac:dyDescent="0.25"/>
    <row r="753" s="15" customFormat="1" ht="13.8" x14ac:dyDescent="0.25"/>
    <row r="754" s="15" customFormat="1" ht="13.8" x14ac:dyDescent="0.25"/>
    <row r="755" s="15" customFormat="1" ht="13.8" x14ac:dyDescent="0.25"/>
    <row r="756" s="15" customFormat="1" ht="13.8" x14ac:dyDescent="0.25"/>
    <row r="757" s="15" customFormat="1" ht="13.8" x14ac:dyDescent="0.25"/>
    <row r="758" s="15" customFormat="1" ht="13.8" x14ac:dyDescent="0.25"/>
    <row r="759" s="15" customFormat="1" ht="13.8" x14ac:dyDescent="0.25"/>
    <row r="760" s="15" customFormat="1" ht="13.8" x14ac:dyDescent="0.25"/>
    <row r="761" s="15" customFormat="1" ht="13.8" x14ac:dyDescent="0.25"/>
    <row r="762" s="15" customFormat="1" ht="13.8" x14ac:dyDescent="0.25"/>
    <row r="763" s="15" customFormat="1" ht="13.8" x14ac:dyDescent="0.25"/>
    <row r="764" s="15" customFormat="1" ht="13.8" x14ac:dyDescent="0.25"/>
    <row r="765" s="15" customFormat="1" ht="13.8" x14ac:dyDescent="0.25"/>
    <row r="766" s="15" customFormat="1" ht="13.8" x14ac:dyDescent="0.25"/>
    <row r="767" s="15" customFormat="1" ht="13.8" x14ac:dyDescent="0.25"/>
    <row r="768" s="15" customFormat="1" ht="13.8" x14ac:dyDescent="0.25"/>
    <row r="769" s="15" customFormat="1" ht="13.8" x14ac:dyDescent="0.25"/>
    <row r="770" s="15" customFormat="1" ht="13.8" x14ac:dyDescent="0.25"/>
    <row r="771" s="15" customFormat="1" ht="13.8" x14ac:dyDescent="0.25"/>
    <row r="772" s="15" customFormat="1" ht="13.8" x14ac:dyDescent="0.25"/>
    <row r="773" s="15" customFormat="1" ht="13.8" x14ac:dyDescent="0.25"/>
    <row r="774" s="15" customFormat="1" ht="13.8" x14ac:dyDescent="0.25"/>
    <row r="775" s="15" customFormat="1" ht="13.8" x14ac:dyDescent="0.25"/>
    <row r="776" s="15" customFormat="1" ht="13.8" x14ac:dyDescent="0.25"/>
    <row r="777" s="15" customFormat="1" ht="13.8" x14ac:dyDescent="0.25"/>
    <row r="778" s="15" customFormat="1" ht="13.8" x14ac:dyDescent="0.25"/>
    <row r="779" s="15" customFormat="1" ht="13.8" x14ac:dyDescent="0.25"/>
    <row r="780" s="15" customFormat="1" ht="13.8" x14ac:dyDescent="0.25"/>
    <row r="781" s="15" customFormat="1" ht="13.8" x14ac:dyDescent="0.25"/>
    <row r="782" s="15" customFormat="1" ht="13.8" x14ac:dyDescent="0.25"/>
    <row r="783" s="15" customFormat="1" ht="13.8" x14ac:dyDescent="0.25"/>
    <row r="784" s="15" customFormat="1" ht="13.8" x14ac:dyDescent="0.25"/>
    <row r="785" s="15" customFormat="1" ht="13.8" x14ac:dyDescent="0.25"/>
    <row r="786" s="15" customFormat="1" ht="13.8" x14ac:dyDescent="0.25"/>
    <row r="787" s="15" customFormat="1" ht="13.8" x14ac:dyDescent="0.25"/>
    <row r="788" s="15" customFormat="1" ht="13.8" x14ac:dyDescent="0.25"/>
    <row r="789" s="15" customFormat="1" ht="13.8" x14ac:dyDescent="0.25"/>
    <row r="790" s="15" customFormat="1" ht="13.8" x14ac:dyDescent="0.25"/>
    <row r="791" s="15" customFormat="1" ht="13.8" x14ac:dyDescent="0.25"/>
    <row r="792" s="15" customFormat="1" ht="13.8" x14ac:dyDescent="0.25"/>
    <row r="793" s="15" customFormat="1" ht="13.8" x14ac:dyDescent="0.25"/>
    <row r="794" s="15" customFormat="1" ht="13.8" x14ac:dyDescent="0.25"/>
    <row r="795" s="15" customFormat="1" ht="13.8" x14ac:dyDescent="0.25"/>
    <row r="796" s="15" customFormat="1" ht="13.8" x14ac:dyDescent="0.25"/>
    <row r="797" s="15" customFormat="1" ht="13.8" x14ac:dyDescent="0.25"/>
    <row r="798" s="15" customFormat="1" ht="13.8" x14ac:dyDescent="0.25"/>
    <row r="799" s="15" customFormat="1" ht="13.8" x14ac:dyDescent="0.25"/>
    <row r="800" s="15" customFormat="1" ht="13.8" x14ac:dyDescent="0.25"/>
    <row r="801" s="15" customFormat="1" ht="13.8" x14ac:dyDescent="0.25"/>
    <row r="802" s="15" customFormat="1" ht="13.8" x14ac:dyDescent="0.25"/>
    <row r="803" s="15" customFormat="1" ht="13.8" x14ac:dyDescent="0.25"/>
    <row r="804" s="15" customFormat="1" ht="13.8" x14ac:dyDescent="0.25"/>
    <row r="805" s="15" customFormat="1" ht="13.8" x14ac:dyDescent="0.25"/>
    <row r="806" s="15" customFormat="1" ht="13.8" x14ac:dyDescent="0.25"/>
    <row r="807" s="15" customFormat="1" ht="13.8" x14ac:dyDescent="0.25"/>
    <row r="808" s="15" customFormat="1" ht="13.8" x14ac:dyDescent="0.25"/>
    <row r="809" s="15" customFormat="1" ht="13.8" x14ac:dyDescent="0.25"/>
    <row r="810" s="15" customFormat="1" ht="13.8" x14ac:dyDescent="0.25"/>
    <row r="811" s="15" customFormat="1" ht="13.8" x14ac:dyDescent="0.25"/>
    <row r="812" s="15" customFormat="1" ht="13.8" x14ac:dyDescent="0.25"/>
    <row r="813" s="15" customFormat="1" ht="13.8" x14ac:dyDescent="0.25"/>
    <row r="814" s="15" customFormat="1" ht="13.8" x14ac:dyDescent="0.25"/>
    <row r="815" s="15" customFormat="1" ht="13.8" x14ac:dyDescent="0.25"/>
    <row r="816" s="15" customFormat="1" ht="13.8" x14ac:dyDescent="0.25"/>
    <row r="817" s="15" customFormat="1" ht="13.8" x14ac:dyDescent="0.25"/>
    <row r="818" s="15" customFormat="1" ht="13.8" x14ac:dyDescent="0.25"/>
    <row r="819" s="15" customFormat="1" ht="13.8" x14ac:dyDescent="0.25"/>
    <row r="820" s="15" customFormat="1" ht="13.8" x14ac:dyDescent="0.25"/>
    <row r="821" s="15" customFormat="1" ht="13.8" x14ac:dyDescent="0.25"/>
    <row r="822" s="15" customFormat="1" ht="13.8" x14ac:dyDescent="0.25"/>
    <row r="823" s="15" customFormat="1" ht="13.8" x14ac:dyDescent="0.25"/>
    <row r="824" s="15" customFormat="1" ht="13.8" x14ac:dyDescent="0.25"/>
    <row r="825" s="15" customFormat="1" ht="13.8" x14ac:dyDescent="0.25"/>
    <row r="826" s="15" customFormat="1" ht="13.8" x14ac:dyDescent="0.25"/>
    <row r="827" s="15" customFormat="1" ht="13.8" x14ac:dyDescent="0.25"/>
    <row r="828" s="15" customFormat="1" ht="13.8" x14ac:dyDescent="0.25"/>
    <row r="829" s="15" customFormat="1" ht="13.8" x14ac:dyDescent="0.25"/>
    <row r="830" s="15" customFormat="1" ht="13.8" x14ac:dyDescent="0.25"/>
    <row r="831" s="15" customFormat="1" ht="13.8" x14ac:dyDescent="0.25"/>
    <row r="832" s="15" customFormat="1" ht="13.8" x14ac:dyDescent="0.25"/>
    <row r="833" s="15" customFormat="1" ht="13.8" x14ac:dyDescent="0.25"/>
    <row r="834" s="15" customFormat="1" ht="13.8" x14ac:dyDescent="0.25"/>
    <row r="835" s="15" customFormat="1" ht="13.8" x14ac:dyDescent="0.25"/>
    <row r="836" s="15" customFormat="1" ht="13.8" x14ac:dyDescent="0.25"/>
    <row r="837" s="15" customFormat="1" ht="13.8" x14ac:dyDescent="0.25"/>
    <row r="838" s="15" customFormat="1" ht="13.8" x14ac:dyDescent="0.25"/>
    <row r="839" s="15" customFormat="1" ht="13.8" x14ac:dyDescent="0.25"/>
    <row r="840" s="15" customFormat="1" ht="13.8" x14ac:dyDescent="0.25"/>
    <row r="841" s="15" customFormat="1" ht="13.8" x14ac:dyDescent="0.25"/>
    <row r="842" s="15" customFormat="1" ht="13.8" x14ac:dyDescent="0.25"/>
    <row r="843" s="15" customFormat="1" ht="13.8" x14ac:dyDescent="0.25"/>
    <row r="844" s="15" customFormat="1" ht="13.8" x14ac:dyDescent="0.25"/>
    <row r="845" s="15" customFormat="1" ht="13.8" x14ac:dyDescent="0.25"/>
    <row r="846" s="15" customFormat="1" ht="13.8" x14ac:dyDescent="0.25"/>
    <row r="847" s="15" customFormat="1" ht="13.8" x14ac:dyDescent="0.25"/>
    <row r="848" s="15" customFormat="1" ht="13.8" x14ac:dyDescent="0.25"/>
    <row r="849" s="15" customFormat="1" ht="13.8" x14ac:dyDescent="0.25"/>
    <row r="850" s="15" customFormat="1" ht="13.8" x14ac:dyDescent="0.25"/>
    <row r="851" s="15" customFormat="1" ht="13.8" x14ac:dyDescent="0.25"/>
    <row r="852" s="15" customFormat="1" ht="13.8" x14ac:dyDescent="0.25"/>
    <row r="853" s="15" customFormat="1" ht="13.8" x14ac:dyDescent="0.25"/>
    <row r="854" s="15" customFormat="1" ht="13.8" x14ac:dyDescent="0.25"/>
    <row r="855" s="15" customFormat="1" ht="13.8" x14ac:dyDescent="0.25"/>
    <row r="856" s="15" customFormat="1" ht="13.8" x14ac:dyDescent="0.25"/>
    <row r="857" s="15" customFormat="1" ht="13.8" x14ac:dyDescent="0.25"/>
    <row r="858" s="15" customFormat="1" ht="13.8" x14ac:dyDescent="0.25"/>
    <row r="859" s="15" customFormat="1" ht="13.8" x14ac:dyDescent="0.25"/>
    <row r="860" s="15" customFormat="1" ht="13.8" x14ac:dyDescent="0.25"/>
    <row r="861" s="15" customFormat="1" ht="13.8" x14ac:dyDescent="0.25"/>
    <row r="862" s="15" customFormat="1" ht="13.8" x14ac:dyDescent="0.25"/>
    <row r="863" s="15" customFormat="1" ht="13.8" x14ac:dyDescent="0.25"/>
    <row r="864" s="15" customFormat="1" ht="13.8" x14ac:dyDescent="0.25"/>
    <row r="865" s="15" customFormat="1" ht="13.8" x14ac:dyDescent="0.25"/>
    <row r="866" s="15" customFormat="1" ht="13.8" x14ac:dyDescent="0.25"/>
    <row r="867" s="15" customFormat="1" ht="13.8" x14ac:dyDescent="0.25"/>
    <row r="868" s="15" customFormat="1" ht="13.8" x14ac:dyDescent="0.25"/>
    <row r="869" s="15" customFormat="1" ht="13.8" x14ac:dyDescent="0.25"/>
    <row r="870" s="15" customFormat="1" ht="13.8" x14ac:dyDescent="0.25"/>
    <row r="871" s="15" customFormat="1" ht="13.8" x14ac:dyDescent="0.25"/>
    <row r="872" s="15" customFormat="1" ht="13.8" x14ac:dyDescent="0.25"/>
    <row r="873" s="15" customFormat="1" ht="13.8" x14ac:dyDescent="0.25"/>
    <row r="874" s="15" customFormat="1" ht="13.8" x14ac:dyDescent="0.25"/>
    <row r="875" s="15" customFormat="1" ht="13.8" x14ac:dyDescent="0.25"/>
    <row r="876" s="15" customFormat="1" ht="13.8" x14ac:dyDescent="0.25"/>
    <row r="877" s="15" customFormat="1" ht="13.8" x14ac:dyDescent="0.25"/>
    <row r="878" s="15" customFormat="1" ht="13.8" x14ac:dyDescent="0.25"/>
    <row r="879" s="15" customFormat="1" ht="13.8" x14ac:dyDescent="0.25"/>
    <row r="880" s="15" customFormat="1" ht="13.8" x14ac:dyDescent="0.25"/>
    <row r="881" s="15" customFormat="1" ht="13.8" x14ac:dyDescent="0.25"/>
    <row r="882" s="15" customFormat="1" ht="13.8" x14ac:dyDescent="0.25"/>
    <row r="883" s="15" customFormat="1" ht="13.8" x14ac:dyDescent="0.25"/>
    <row r="884" s="15" customFormat="1" ht="13.8" x14ac:dyDescent="0.25"/>
    <row r="885" s="15" customFormat="1" ht="13.8" x14ac:dyDescent="0.25"/>
    <row r="886" s="15" customFormat="1" ht="13.8" x14ac:dyDescent="0.25"/>
    <row r="887" s="15" customFormat="1" ht="13.8" x14ac:dyDescent="0.25"/>
    <row r="888" s="15" customFormat="1" ht="13.8" x14ac:dyDescent="0.25"/>
    <row r="889" s="15" customFormat="1" ht="13.8" x14ac:dyDescent="0.25"/>
    <row r="890" s="15" customFormat="1" ht="13.8" x14ac:dyDescent="0.25"/>
    <row r="891" s="15" customFormat="1" ht="13.8" x14ac:dyDescent="0.25"/>
    <row r="892" s="15" customFormat="1" ht="13.8" x14ac:dyDescent="0.25"/>
    <row r="893" s="15" customFormat="1" ht="13.8" x14ac:dyDescent="0.25"/>
    <row r="894" s="15" customFormat="1" ht="13.8" x14ac:dyDescent="0.25"/>
    <row r="895" s="15" customFormat="1" ht="13.8" x14ac:dyDescent="0.25"/>
    <row r="896" s="15" customFormat="1" ht="13.8" x14ac:dyDescent="0.25"/>
    <row r="897" s="15" customFormat="1" ht="13.8" x14ac:dyDescent="0.25"/>
    <row r="898" s="15" customFormat="1" ht="13.8" x14ac:dyDescent="0.25"/>
    <row r="899" s="15" customFormat="1" ht="13.8" x14ac:dyDescent="0.25"/>
    <row r="900" s="15" customFormat="1" ht="13.8" x14ac:dyDescent="0.25"/>
    <row r="901" s="15" customFormat="1" ht="13.8" x14ac:dyDescent="0.25"/>
    <row r="902" s="15" customFormat="1" ht="13.8" x14ac:dyDescent="0.25"/>
    <row r="903" s="15" customFormat="1" ht="13.8" x14ac:dyDescent="0.25"/>
    <row r="904" s="15" customFormat="1" ht="13.8" x14ac:dyDescent="0.25"/>
    <row r="905" s="15" customFormat="1" ht="13.8" x14ac:dyDescent="0.25"/>
    <row r="906" s="15" customFormat="1" ht="13.8" x14ac:dyDescent="0.25"/>
    <row r="907" s="15" customFormat="1" ht="13.8" x14ac:dyDescent="0.25"/>
    <row r="908" s="15" customFormat="1" ht="13.8" x14ac:dyDescent="0.25"/>
    <row r="909" s="15" customFormat="1" ht="13.8" x14ac:dyDescent="0.25"/>
    <row r="910" s="15" customFormat="1" ht="13.8" x14ac:dyDescent="0.25"/>
    <row r="911" s="15" customFormat="1" ht="13.8" x14ac:dyDescent="0.25"/>
    <row r="912" s="15" customFormat="1" ht="13.8" x14ac:dyDescent="0.25"/>
    <row r="913" s="15" customFormat="1" ht="13.8" x14ac:dyDescent="0.25"/>
    <row r="914" s="15" customFormat="1" ht="13.8" x14ac:dyDescent="0.25"/>
    <row r="915" s="15" customFormat="1" ht="13.8" x14ac:dyDescent="0.25"/>
    <row r="916" s="15" customFormat="1" ht="13.8" x14ac:dyDescent="0.25"/>
    <row r="917" s="15" customFormat="1" ht="13.8" x14ac:dyDescent="0.25"/>
    <row r="918" s="15" customFormat="1" ht="13.8" x14ac:dyDescent="0.25"/>
    <row r="919" s="15" customFormat="1" ht="13.8" x14ac:dyDescent="0.25"/>
    <row r="920" s="15" customFormat="1" ht="13.8" x14ac:dyDescent="0.25"/>
    <row r="921" s="15" customFormat="1" ht="13.8" x14ac:dyDescent="0.25"/>
    <row r="922" s="15" customFormat="1" ht="13.8" x14ac:dyDescent="0.25"/>
    <row r="923" s="15" customFormat="1" ht="13.8" x14ac:dyDescent="0.25"/>
    <row r="924" s="15" customFormat="1" ht="13.8" x14ac:dyDescent="0.25"/>
    <row r="925" s="15" customFormat="1" ht="13.8" x14ac:dyDescent="0.25"/>
    <row r="926" s="15" customFormat="1" ht="13.8" x14ac:dyDescent="0.25"/>
    <row r="927" s="15" customFormat="1" ht="13.8" x14ac:dyDescent="0.25"/>
    <row r="928" s="15" customFormat="1" ht="13.8" x14ac:dyDescent="0.25"/>
    <row r="929" s="15" customFormat="1" ht="13.8" x14ac:dyDescent="0.25"/>
    <row r="930" s="15" customFormat="1" ht="13.8" x14ac:dyDescent="0.25"/>
    <row r="931" s="15" customFormat="1" ht="13.8" x14ac:dyDescent="0.25"/>
    <row r="932" s="15" customFormat="1" ht="13.8" x14ac:dyDescent="0.25"/>
    <row r="933" s="15" customFormat="1" ht="13.8" x14ac:dyDescent="0.25"/>
    <row r="934" s="15" customFormat="1" ht="13.8" x14ac:dyDescent="0.25"/>
    <row r="935" s="15" customFormat="1" ht="13.8" x14ac:dyDescent="0.25"/>
    <row r="936" s="15" customFormat="1" ht="13.8" x14ac:dyDescent="0.25"/>
    <row r="937" s="15" customFormat="1" ht="13.8" x14ac:dyDescent="0.25"/>
    <row r="938" s="15" customFormat="1" ht="13.8" x14ac:dyDescent="0.25"/>
    <row r="939" s="15" customFormat="1" ht="13.8" x14ac:dyDescent="0.25"/>
    <row r="940" s="15" customFormat="1" ht="13.8" x14ac:dyDescent="0.25"/>
    <row r="941" s="15" customFormat="1" ht="13.8" x14ac:dyDescent="0.25"/>
    <row r="942" s="15" customFormat="1" ht="13.8" x14ac:dyDescent="0.25"/>
    <row r="943" s="15" customFormat="1" ht="13.8" x14ac:dyDescent="0.25"/>
    <row r="944" s="15" customFormat="1" ht="13.8" x14ac:dyDescent="0.25"/>
    <row r="945" s="15" customFormat="1" ht="13.8" x14ac:dyDescent="0.25"/>
    <row r="946" s="15" customFormat="1" ht="13.8" x14ac:dyDescent="0.25"/>
    <row r="947" s="15" customFormat="1" ht="13.8" x14ac:dyDescent="0.25"/>
    <row r="948" s="15" customFormat="1" ht="13.8" x14ac:dyDescent="0.25"/>
    <row r="949" s="15" customFormat="1" ht="13.8" x14ac:dyDescent="0.25"/>
    <row r="950" s="15" customFormat="1" ht="13.8" x14ac:dyDescent="0.25"/>
    <row r="951" s="15" customFormat="1" ht="13.8" x14ac:dyDescent="0.25"/>
    <row r="952" s="15" customFormat="1" ht="13.8" x14ac:dyDescent="0.25"/>
    <row r="953" s="15" customFormat="1" ht="13.8" x14ac:dyDescent="0.25"/>
    <row r="954" s="15" customFormat="1" ht="13.8" x14ac:dyDescent="0.25"/>
    <row r="955" s="15" customFormat="1" ht="13.8" x14ac:dyDescent="0.25"/>
    <row r="956" s="15" customFormat="1" ht="13.8" x14ac:dyDescent="0.25"/>
    <row r="957" s="15" customFormat="1" ht="13.8" x14ac:dyDescent="0.25"/>
    <row r="958" s="15" customFormat="1" ht="13.8" x14ac:dyDescent="0.25"/>
    <row r="959" s="15" customFormat="1" ht="13.8" x14ac:dyDescent="0.25"/>
    <row r="960" s="15" customFormat="1" ht="13.8" x14ac:dyDescent="0.25"/>
    <row r="961" s="15" customFormat="1" ht="13.8" x14ac:dyDescent="0.25"/>
    <row r="962" s="15" customFormat="1" ht="13.8" x14ac:dyDescent="0.25"/>
    <row r="963" s="15" customFormat="1" ht="13.8" x14ac:dyDescent="0.25"/>
    <row r="964" s="15" customFormat="1" ht="13.8" x14ac:dyDescent="0.25"/>
    <row r="965" s="15" customFormat="1" ht="13.8" x14ac:dyDescent="0.25"/>
    <row r="966" s="15" customFormat="1" ht="13.8" x14ac:dyDescent="0.25"/>
    <row r="967" s="15" customFormat="1" ht="13.8" x14ac:dyDescent="0.25"/>
    <row r="968" s="15" customFormat="1" ht="13.8" x14ac:dyDescent="0.25"/>
    <row r="969" s="15" customFormat="1" ht="13.8" x14ac:dyDescent="0.25"/>
    <row r="970" s="15" customFormat="1" ht="13.8" x14ac:dyDescent="0.25"/>
    <row r="971" s="15" customFormat="1" ht="13.8" x14ac:dyDescent="0.25"/>
    <row r="972" s="15" customFormat="1" ht="13.8" x14ac:dyDescent="0.25"/>
    <row r="973" s="15" customFormat="1" ht="13.8" x14ac:dyDescent="0.25"/>
    <row r="974" s="15" customFormat="1" ht="13.8" x14ac:dyDescent="0.25"/>
    <row r="975" s="15" customFormat="1" ht="13.8" x14ac:dyDescent="0.25"/>
    <row r="976" s="15" customFormat="1" ht="13.8" x14ac:dyDescent="0.25"/>
    <row r="977" s="15" customFormat="1" ht="13.8" x14ac:dyDescent="0.25"/>
    <row r="978" s="15" customFormat="1" ht="13.8" x14ac:dyDescent="0.25"/>
    <row r="979" s="15" customFormat="1" ht="13.8" x14ac:dyDescent="0.25"/>
    <row r="980" s="15" customFormat="1" ht="13.8" x14ac:dyDescent="0.25"/>
    <row r="981" s="15" customFormat="1" ht="13.8" x14ac:dyDescent="0.25"/>
    <row r="982" s="15" customFormat="1" ht="13.8" x14ac:dyDescent="0.25"/>
    <row r="983" s="15" customFormat="1" ht="13.8" x14ac:dyDescent="0.25"/>
    <row r="984" s="15" customFormat="1" ht="13.8" x14ac:dyDescent="0.25"/>
    <row r="985" s="15" customFormat="1" ht="13.8" x14ac:dyDescent="0.25"/>
    <row r="986" s="15" customFormat="1" ht="13.8" x14ac:dyDescent="0.25"/>
    <row r="987" s="15" customFormat="1" ht="13.8" x14ac:dyDescent="0.25"/>
    <row r="988" s="15" customFormat="1" ht="13.8" x14ac:dyDescent="0.25"/>
    <row r="989" s="15" customFormat="1" ht="13.8" x14ac:dyDescent="0.25"/>
    <row r="990" s="15" customFormat="1" ht="13.8" x14ac:dyDescent="0.25"/>
    <row r="991" s="15" customFormat="1" ht="13.8" x14ac:dyDescent="0.25"/>
    <row r="992" s="15" customFormat="1" ht="13.8" x14ac:dyDescent="0.25"/>
    <row r="993" s="15" customFormat="1" ht="13.8" x14ac:dyDescent="0.25"/>
    <row r="994" s="15" customFormat="1" ht="13.8" x14ac:dyDescent="0.25"/>
    <row r="995" s="15" customFormat="1" ht="13.8" x14ac:dyDescent="0.25"/>
    <row r="996" s="15" customFormat="1" ht="13.8" x14ac:dyDescent="0.25"/>
    <row r="997" s="15" customFormat="1" ht="13.8" x14ac:dyDescent="0.25"/>
    <row r="998" s="15" customFormat="1" ht="13.8" x14ac:dyDescent="0.25"/>
    <row r="999" s="15" customFormat="1" ht="13.8" x14ac:dyDescent="0.25"/>
    <row r="1000" s="15" customFormat="1" ht="13.8" x14ac:dyDescent="0.25"/>
    <row r="1001" s="15" customFormat="1" ht="13.8" x14ac:dyDescent="0.25"/>
    <row r="1002" s="15" customFormat="1" ht="13.8" x14ac:dyDescent="0.25"/>
    <row r="1003" s="15" customFormat="1" ht="13.8" x14ac:dyDescent="0.25"/>
    <row r="1004" s="15" customFormat="1" ht="13.8" x14ac:dyDescent="0.25"/>
    <row r="1005" s="15" customFormat="1" ht="13.8" x14ac:dyDescent="0.25"/>
    <row r="1006" s="15" customFormat="1" ht="13.8" x14ac:dyDescent="0.25"/>
    <row r="1007" s="15" customFormat="1" ht="13.8" x14ac:dyDescent="0.25"/>
    <row r="1008" s="15" customFormat="1" ht="13.8" x14ac:dyDescent="0.25"/>
    <row r="1009" s="15" customFormat="1" ht="13.8" x14ac:dyDescent="0.25"/>
    <row r="1010" s="15" customFormat="1" ht="13.8" x14ac:dyDescent="0.25"/>
    <row r="1011" s="15" customFormat="1" ht="13.8" x14ac:dyDescent="0.25"/>
    <row r="1012" s="15" customFormat="1" ht="13.8" x14ac:dyDescent="0.25"/>
    <row r="1013" s="15" customFormat="1" ht="13.8" x14ac:dyDescent="0.25"/>
    <row r="1014" s="15" customFormat="1" ht="13.8" x14ac:dyDescent="0.25"/>
  </sheetData>
  <pageMargins left="0.70866141732283472" right="0.70866141732283472" top="0.74803149606299213" bottom="0.74803149606299213" header="0.31496062992125984" footer="0.31496062992125984"/>
  <pageSetup scale="6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M1000"/>
  <sheetViews>
    <sheetView showGridLines="0" zoomScale="90" zoomScaleNormal="9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P22" sqref="P22"/>
    </sheetView>
  </sheetViews>
  <sheetFormatPr defaultColWidth="14.44140625" defaultRowHeight="15" customHeight="1" x14ac:dyDescent="0.3"/>
  <cols>
    <col min="1" max="1" width="3.6640625" style="2" customWidth="1"/>
    <col min="2" max="2" width="3.88671875" style="2" customWidth="1"/>
    <col min="3" max="3" width="3.44140625" style="2" customWidth="1"/>
    <col min="4" max="4" width="30.33203125" style="2" bestFit="1" customWidth="1"/>
    <col min="5" max="7" width="14.44140625" style="2"/>
    <col min="8" max="8" width="14.88671875" style="2" customWidth="1"/>
    <col min="9" max="9" width="15.88671875" style="2" customWidth="1"/>
    <col min="10" max="12" width="16.5546875" style="2" customWidth="1"/>
    <col min="13" max="16384" width="14.44140625" style="2"/>
  </cols>
  <sheetData>
    <row r="1" spans="2:13" ht="15.6" x14ac:dyDescent="0.3"/>
    <row r="2" spans="2:13" ht="32.4" customHeight="1" x14ac:dyDescent="0.5">
      <c r="B2" s="44" t="str">
        <f>CompanyName</f>
        <v>Cronyx Mining Ltd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2:13" ht="20.399999999999999" x14ac:dyDescent="0.35">
      <c r="C3" s="28" t="s">
        <v>131</v>
      </c>
    </row>
    <row r="4" spans="2:13" ht="15.6" x14ac:dyDescent="0.3">
      <c r="D4" s="7"/>
      <c r="E4" s="4"/>
      <c r="F4" s="7"/>
      <c r="G4" s="7"/>
      <c r="H4" s="7"/>
      <c r="I4" s="7"/>
      <c r="J4" s="7"/>
      <c r="K4" s="7"/>
      <c r="L4" s="7"/>
    </row>
    <row r="5" spans="2:13" ht="15.6" x14ac:dyDescent="0.3">
      <c r="C5" s="7"/>
      <c r="D5" s="7"/>
      <c r="E5" s="4"/>
      <c r="F5" s="7"/>
      <c r="G5" s="7" t="s">
        <v>6</v>
      </c>
      <c r="H5" s="7"/>
      <c r="I5" s="19">
        <f t="shared" ref="I5:L5" si="0">H6+1</f>
        <v>46023</v>
      </c>
      <c r="J5" s="19">
        <f t="shared" si="0"/>
        <v>46388</v>
      </c>
      <c r="K5" s="19">
        <f t="shared" si="0"/>
        <v>46753</v>
      </c>
      <c r="L5" s="19">
        <f t="shared" si="0"/>
        <v>47119</v>
      </c>
    </row>
    <row r="6" spans="2:13" ht="15.6" x14ac:dyDescent="0.3">
      <c r="C6" s="7"/>
      <c r="D6" s="7"/>
      <c r="E6" s="4"/>
      <c r="F6" s="7"/>
      <c r="G6" s="7" t="s">
        <v>7</v>
      </c>
      <c r="H6" s="19">
        <f>Guide!E30-1</f>
        <v>46022</v>
      </c>
      <c r="I6" s="19">
        <f t="shared" ref="I6:L6" si="1">EDATE(H6,12)</f>
        <v>46387</v>
      </c>
      <c r="J6" s="19">
        <f t="shared" si="1"/>
        <v>46752</v>
      </c>
      <c r="K6" s="19">
        <f t="shared" si="1"/>
        <v>47118</v>
      </c>
      <c r="L6" s="19">
        <f t="shared" si="1"/>
        <v>47483</v>
      </c>
    </row>
    <row r="7" spans="2:13" ht="15.6" x14ac:dyDescent="0.3">
      <c r="E7" s="4"/>
      <c r="I7" s="9">
        <f t="shared" ref="I7:L7" si="2">YEAR(I6)</f>
        <v>2026</v>
      </c>
      <c r="J7" s="9">
        <f t="shared" si="2"/>
        <v>2027</v>
      </c>
      <c r="K7" s="9">
        <f t="shared" si="2"/>
        <v>2028</v>
      </c>
      <c r="L7" s="9">
        <f t="shared" si="2"/>
        <v>2029</v>
      </c>
    </row>
    <row r="8" spans="2:13" s="35" customFormat="1" ht="15.6" x14ac:dyDescent="0.3">
      <c r="D8" s="35" t="s">
        <v>2</v>
      </c>
      <c r="E8" s="36" t="s">
        <v>4</v>
      </c>
      <c r="H8" s="35" t="s">
        <v>3</v>
      </c>
      <c r="I8" s="37" t="s">
        <v>5</v>
      </c>
      <c r="J8" s="37" t="s">
        <v>5</v>
      </c>
      <c r="K8" s="37" t="s">
        <v>5</v>
      </c>
      <c r="L8" s="37" t="s">
        <v>5</v>
      </c>
    </row>
    <row r="9" spans="2:13" ht="15.6" x14ac:dyDescent="0.3">
      <c r="D9" s="2" t="s">
        <v>12</v>
      </c>
      <c r="E9" s="4">
        <v>1</v>
      </c>
      <c r="H9" s="17">
        <f>Input!H35</f>
        <v>243600643</v>
      </c>
      <c r="I9" s="11">
        <f>Input!I35</f>
        <v>2581200000</v>
      </c>
      <c r="J9" s="11">
        <f>Input!J35</f>
        <v>3226500000</v>
      </c>
      <c r="K9" s="11">
        <f>Input!K35</f>
        <v>4033125000</v>
      </c>
      <c r="L9" s="11">
        <f>Input!L35</f>
        <v>5041406250</v>
      </c>
    </row>
    <row r="10" spans="2:13" ht="16.2" thickBot="1" x14ac:dyDescent="0.35">
      <c r="D10" s="2" t="s">
        <v>132</v>
      </c>
      <c r="E10" s="4">
        <v>2</v>
      </c>
      <c r="H10" s="17">
        <f>-Input!H71</f>
        <v>-166139946</v>
      </c>
      <c r="I10" s="17">
        <f>-Input!I71</f>
        <v>-541045000</v>
      </c>
      <c r="J10" s="17">
        <f>-Input!J71</f>
        <v>-1451925000</v>
      </c>
      <c r="K10" s="17">
        <f>-Input!K71</f>
        <v>-1814906250</v>
      </c>
      <c r="L10" s="17">
        <f>-Input!L71</f>
        <v>-2268632812.5</v>
      </c>
    </row>
    <row r="11" spans="2:13" ht="15.6" x14ac:dyDescent="0.3">
      <c r="C11" s="7"/>
      <c r="D11" s="26" t="s">
        <v>133</v>
      </c>
      <c r="E11" s="32"/>
      <c r="F11" s="26"/>
      <c r="G11" s="26"/>
      <c r="H11" s="26">
        <f t="shared" ref="H11:L11" si="3">SUM(H9:H10)</f>
        <v>77460697</v>
      </c>
      <c r="I11" s="26">
        <f t="shared" si="3"/>
        <v>2040155000</v>
      </c>
      <c r="J11" s="26">
        <f t="shared" si="3"/>
        <v>1774575000</v>
      </c>
      <c r="K11" s="26">
        <f t="shared" si="3"/>
        <v>2218218750</v>
      </c>
      <c r="L11" s="26">
        <f t="shared" si="3"/>
        <v>2772773437.5</v>
      </c>
    </row>
    <row r="12" spans="2:13" ht="15.6" x14ac:dyDescent="0.3">
      <c r="D12" s="2" t="s">
        <v>134</v>
      </c>
      <c r="E12" s="4"/>
      <c r="H12" s="20">
        <f t="shared" ref="H12:L12" si="4">H11/H9</f>
        <v>0.31798231747688777</v>
      </c>
      <c r="I12" s="20">
        <f t="shared" si="4"/>
        <v>0.79039012862234614</v>
      </c>
      <c r="J12" s="20">
        <f t="shared" si="4"/>
        <v>0.55000000000000004</v>
      </c>
      <c r="K12" s="20">
        <f t="shared" si="4"/>
        <v>0.55000000000000004</v>
      </c>
      <c r="L12" s="20">
        <f t="shared" si="4"/>
        <v>0.55000000000000004</v>
      </c>
    </row>
    <row r="13" spans="2:13" ht="15.6" x14ac:dyDescent="0.3">
      <c r="E13" s="4"/>
    </row>
    <row r="14" spans="2:13" ht="15.6" x14ac:dyDescent="0.3">
      <c r="D14" s="2" t="s">
        <v>44</v>
      </c>
      <c r="E14" s="4">
        <v>3</v>
      </c>
      <c r="H14" s="17">
        <f>-Input!H73</f>
        <v>-25131571</v>
      </c>
      <c r="I14" s="17">
        <f>-(I11*Input!I19)</f>
        <v>-408031000</v>
      </c>
      <c r="J14" s="17">
        <f>-(J11*Input!J19)</f>
        <v>-354915000</v>
      </c>
      <c r="K14" s="17">
        <f>-(K11*Input!K19)</f>
        <v>-443643750</v>
      </c>
      <c r="L14" s="17">
        <f>-(L11*Input!L19)</f>
        <v>-554554687.5</v>
      </c>
    </row>
    <row r="15" spans="2:13" ht="15.6" x14ac:dyDescent="0.3">
      <c r="D15" s="2" t="s">
        <v>48</v>
      </c>
      <c r="E15" s="4">
        <v>4</v>
      </c>
      <c r="I15" s="17">
        <f>-Input!$I$81</f>
        <v>-37200000</v>
      </c>
      <c r="J15" s="17">
        <f>-Input!$I$81</f>
        <v>-37200000</v>
      </c>
      <c r="K15" s="17">
        <f>-Input!$I$81</f>
        <v>-37200000</v>
      </c>
      <c r="L15" s="17">
        <f>-Input!$I$81</f>
        <v>-37200000</v>
      </c>
    </row>
    <row r="16" spans="2:13" ht="16.2" thickBot="1" x14ac:dyDescent="0.35">
      <c r="D16" s="2" t="s">
        <v>54</v>
      </c>
      <c r="E16" s="4">
        <v>7</v>
      </c>
      <c r="I16" s="17">
        <f>-Input!$I$119</f>
        <v>-53250000</v>
      </c>
      <c r="J16" s="17">
        <f>-Input!$I$119</f>
        <v>-53250000</v>
      </c>
      <c r="K16" s="17">
        <f>-Input!$I$119</f>
        <v>-53250000</v>
      </c>
      <c r="L16" s="17">
        <f>-Input!$I$119</f>
        <v>-53250000</v>
      </c>
    </row>
    <row r="17" spans="4:12" ht="15.6" x14ac:dyDescent="0.3">
      <c r="D17" s="26" t="s">
        <v>135</v>
      </c>
      <c r="E17" s="32"/>
      <c r="F17" s="26"/>
      <c r="G17" s="26"/>
      <c r="H17" s="26">
        <f t="shared" ref="H17:L17" si="5">H11+H14+H15+H16</f>
        <v>52329126</v>
      </c>
      <c r="I17" s="26">
        <f t="shared" si="5"/>
        <v>1541674000</v>
      </c>
      <c r="J17" s="26">
        <f t="shared" si="5"/>
        <v>1329210000</v>
      </c>
      <c r="K17" s="26">
        <f t="shared" si="5"/>
        <v>1684125000</v>
      </c>
      <c r="L17" s="26">
        <f t="shared" si="5"/>
        <v>2127768750</v>
      </c>
    </row>
    <row r="18" spans="4:12" ht="16.2" thickBot="1" x14ac:dyDescent="0.35">
      <c r="D18" s="2" t="s">
        <v>136</v>
      </c>
      <c r="E18" s="4">
        <v>6</v>
      </c>
      <c r="I18" s="17">
        <f>-Input!I112</f>
        <v>-213000000</v>
      </c>
      <c r="J18" s="17">
        <f>-Input!J112</f>
        <v>-213000000</v>
      </c>
      <c r="K18" s="17">
        <f>-Input!K112</f>
        <v>-213000000</v>
      </c>
      <c r="L18" s="17">
        <f>-Input!L112</f>
        <v>-213000000</v>
      </c>
    </row>
    <row r="19" spans="4:12" ht="15.6" x14ac:dyDescent="0.3">
      <c r="D19" s="26" t="s">
        <v>137</v>
      </c>
      <c r="E19" s="32"/>
      <c r="F19" s="26"/>
      <c r="G19" s="26"/>
      <c r="H19" s="26">
        <f t="shared" ref="H19:L19" si="6">SUM(H17:H18)</f>
        <v>52329126</v>
      </c>
      <c r="I19" s="26">
        <f t="shared" si="6"/>
        <v>1328674000</v>
      </c>
      <c r="J19" s="26">
        <f t="shared" si="6"/>
        <v>1116210000</v>
      </c>
      <c r="K19" s="26">
        <f t="shared" si="6"/>
        <v>1471125000</v>
      </c>
      <c r="L19" s="26">
        <f t="shared" si="6"/>
        <v>1914768750</v>
      </c>
    </row>
    <row r="20" spans="4:12" ht="15.6" x14ac:dyDescent="0.3">
      <c r="D20" s="2" t="s">
        <v>138</v>
      </c>
      <c r="E20" s="4"/>
      <c r="H20" s="20">
        <f t="shared" ref="H20:L20" si="7">H19/H9</f>
        <v>0.21481522115686699</v>
      </c>
      <c r="I20" s="20">
        <f t="shared" si="7"/>
        <v>0.51475050364171704</v>
      </c>
      <c r="J20" s="20">
        <f t="shared" si="7"/>
        <v>0.34595072059507204</v>
      </c>
      <c r="K20" s="20">
        <f t="shared" si="7"/>
        <v>0.36476057647605764</v>
      </c>
      <c r="L20" s="20">
        <f t="shared" si="7"/>
        <v>0.3798084611808461</v>
      </c>
    </row>
    <row r="21" spans="4:12" ht="15.6" x14ac:dyDescent="0.3">
      <c r="E21" s="4"/>
    </row>
    <row r="22" spans="4:12" ht="16.2" thickBot="1" x14ac:dyDescent="0.35">
      <c r="D22" s="2" t="s">
        <v>139</v>
      </c>
      <c r="E22" s="4">
        <v>11</v>
      </c>
      <c r="I22" s="17">
        <f>-Input!I153</f>
        <v>-330000000</v>
      </c>
      <c r="J22" s="17">
        <f>-Input!J153</f>
        <v>-278849398.21316999</v>
      </c>
      <c r="K22" s="17">
        <f>-Input!K153</f>
        <v>-210819097.83668599</v>
      </c>
      <c r="L22" s="17">
        <f>-Input!L153</f>
        <v>-120338798.33596241</v>
      </c>
    </row>
    <row r="23" spans="4:12" ht="15.6" x14ac:dyDescent="0.3">
      <c r="D23" s="26" t="s">
        <v>140</v>
      </c>
      <c r="E23" s="32"/>
      <c r="F23" s="26"/>
      <c r="G23" s="26"/>
      <c r="H23" s="26">
        <f t="shared" ref="H23:L23" si="8">H19+H22</f>
        <v>52329126</v>
      </c>
      <c r="I23" s="26">
        <f t="shared" si="8"/>
        <v>998674000</v>
      </c>
      <c r="J23" s="26">
        <f t="shared" si="8"/>
        <v>837360601.78682995</v>
      </c>
      <c r="K23" s="26">
        <f t="shared" si="8"/>
        <v>1260305902.1633141</v>
      </c>
      <c r="L23" s="26">
        <f t="shared" si="8"/>
        <v>1794429951.6640377</v>
      </c>
    </row>
    <row r="24" spans="4:12" ht="15.6" x14ac:dyDescent="0.3">
      <c r="D24" s="2" t="s">
        <v>141</v>
      </c>
      <c r="E24" s="4">
        <v>8</v>
      </c>
      <c r="H24" s="17">
        <f>-Input!H122</f>
        <v>-6800000</v>
      </c>
      <c r="I24" s="17">
        <f>-(IF(I23&gt;0,Input!$E$124*I23,0))</f>
        <v>-339549159.99999994</v>
      </c>
      <c r="J24" s="17">
        <f>-(IF(J23&gt;0,Input!$E$124*J23,0))</f>
        <v>-284702604.60752213</v>
      </c>
      <c r="K24" s="17">
        <f>-(IF(K23&gt;0,Input!$E$124*K23,0))</f>
        <v>-428504006.73552674</v>
      </c>
      <c r="L24" s="17">
        <f>-(IF(L23&gt;0,Input!$E$124*L23,0))</f>
        <v>-610106183.56577277</v>
      </c>
    </row>
    <row r="25" spans="4:12" ht="16.2" thickBot="1" x14ac:dyDescent="0.35">
      <c r="D25" s="30" t="s">
        <v>142</v>
      </c>
      <c r="E25" s="33"/>
      <c r="F25" s="30"/>
      <c r="G25" s="30"/>
      <c r="H25" s="30">
        <f t="shared" ref="H25:L25" si="9">SUM(H23:H24)</f>
        <v>45529126</v>
      </c>
      <c r="I25" s="30">
        <f t="shared" si="9"/>
        <v>659124840</v>
      </c>
      <c r="J25" s="30">
        <f t="shared" si="9"/>
        <v>552657997.17930782</v>
      </c>
      <c r="K25" s="30">
        <f t="shared" si="9"/>
        <v>831801895.4277873</v>
      </c>
      <c r="L25" s="30">
        <f t="shared" si="9"/>
        <v>1184323768.0982649</v>
      </c>
    </row>
    <row r="26" spans="4:12" ht="16.2" thickTop="1" x14ac:dyDescent="0.3">
      <c r="D26" s="2" t="s">
        <v>143</v>
      </c>
      <c r="E26" s="4"/>
      <c r="H26" s="20">
        <f t="shared" ref="H26:L26" si="10">H25/H9</f>
        <v>0.18690068071782553</v>
      </c>
      <c r="I26" s="20">
        <f t="shared" si="10"/>
        <v>0.25535597396559739</v>
      </c>
      <c r="J26" s="20">
        <f t="shared" si="10"/>
        <v>0.17128715238782205</v>
      </c>
      <c r="K26" s="20">
        <f t="shared" si="10"/>
        <v>0.2062425279225879</v>
      </c>
      <c r="L26" s="20">
        <f t="shared" si="10"/>
        <v>0.23491932793518969</v>
      </c>
    </row>
    <row r="27" spans="4:12" ht="15.6" x14ac:dyDescent="0.3">
      <c r="E27" s="4"/>
    </row>
    <row r="28" spans="4:12" ht="15.6" x14ac:dyDescent="0.3">
      <c r="D28" s="7" t="s">
        <v>144</v>
      </c>
      <c r="E28" s="4"/>
    </row>
    <row r="29" spans="4:12" ht="15.6" x14ac:dyDescent="0.3">
      <c r="D29" s="2" t="s">
        <v>99</v>
      </c>
      <c r="E29" s="4"/>
      <c r="H29" s="2">
        <f t="shared" ref="H29:L29" si="11">G32</f>
        <v>0</v>
      </c>
      <c r="I29" s="17">
        <f t="shared" si="11"/>
        <v>45529126</v>
      </c>
      <c r="J29" s="17">
        <f t="shared" si="11"/>
        <v>572828998</v>
      </c>
      <c r="K29" s="17">
        <f t="shared" si="11"/>
        <v>1014955395.7434464</v>
      </c>
      <c r="L29" s="17">
        <f t="shared" si="11"/>
        <v>1680396912.0856762</v>
      </c>
    </row>
    <row r="30" spans="4:12" ht="15.6" x14ac:dyDescent="0.3">
      <c r="D30" s="2" t="s">
        <v>145</v>
      </c>
      <c r="E30" s="4"/>
      <c r="H30" s="17">
        <f t="shared" ref="H30:L30" si="12">H25</f>
        <v>45529126</v>
      </c>
      <c r="I30" s="11">
        <f t="shared" si="12"/>
        <v>659124840</v>
      </c>
      <c r="J30" s="11">
        <f t="shared" si="12"/>
        <v>552657997.17930782</v>
      </c>
      <c r="K30" s="11">
        <f t="shared" si="12"/>
        <v>831801895.4277873</v>
      </c>
      <c r="L30" s="11">
        <f t="shared" si="12"/>
        <v>1184323768.0982649</v>
      </c>
    </row>
    <row r="31" spans="4:12" ht="15.6" x14ac:dyDescent="0.3">
      <c r="D31" s="2" t="s">
        <v>146</v>
      </c>
      <c r="E31" s="4"/>
      <c r="H31" s="11"/>
      <c r="I31" s="17">
        <f t="shared" ref="I31:L31" si="13">IF(I30&gt;0,I30*0.2,0)</f>
        <v>131824968</v>
      </c>
      <c r="J31" s="17">
        <f t="shared" si="13"/>
        <v>110531599.43586157</v>
      </c>
      <c r="K31" s="17">
        <f t="shared" si="13"/>
        <v>166360379.08555746</v>
      </c>
      <c r="L31" s="17">
        <f t="shared" si="13"/>
        <v>236864753.61965299</v>
      </c>
    </row>
    <row r="32" spans="4:12" ht="16.2" thickBot="1" x14ac:dyDescent="0.35">
      <c r="D32" s="30" t="s">
        <v>130</v>
      </c>
      <c r="E32" s="33"/>
      <c r="F32" s="30"/>
      <c r="G32" s="30"/>
      <c r="H32" s="30">
        <f t="shared" ref="H32:L32" si="14">H29+H30-H31</f>
        <v>45529126</v>
      </c>
      <c r="I32" s="30">
        <f t="shared" si="14"/>
        <v>572828998</v>
      </c>
      <c r="J32" s="30">
        <f t="shared" si="14"/>
        <v>1014955395.7434464</v>
      </c>
      <c r="K32" s="30">
        <f t="shared" si="14"/>
        <v>1680396912.0856762</v>
      </c>
      <c r="L32" s="30">
        <f t="shared" si="14"/>
        <v>2627855926.5642881</v>
      </c>
    </row>
    <row r="33" s="2" customFormat="1" ht="16.2" thickTop="1" x14ac:dyDescent="0.3"/>
    <row r="34" s="2" customFormat="1" ht="15.6" x14ac:dyDescent="0.3"/>
    <row r="35" s="2" customFormat="1" ht="15.6" x14ac:dyDescent="0.3"/>
    <row r="36" s="2" customFormat="1" ht="15.6" x14ac:dyDescent="0.3"/>
    <row r="37" s="2" customFormat="1" ht="15.6" x14ac:dyDescent="0.3"/>
    <row r="38" s="2" customFormat="1" ht="15.6" x14ac:dyDescent="0.3"/>
    <row r="39" s="2" customFormat="1" ht="15.6" x14ac:dyDescent="0.3"/>
    <row r="40" s="2" customFormat="1" ht="15.6" x14ac:dyDescent="0.3"/>
    <row r="41" s="2" customFormat="1" ht="15.6" x14ac:dyDescent="0.3"/>
    <row r="42" s="2" customFormat="1" ht="15.6" x14ac:dyDescent="0.3"/>
    <row r="43" s="2" customFormat="1" ht="15.6" x14ac:dyDescent="0.3"/>
    <row r="44" s="2" customFormat="1" ht="15.6" x14ac:dyDescent="0.3"/>
    <row r="45" s="2" customFormat="1" ht="15.6" x14ac:dyDescent="0.3"/>
    <row r="46" s="2" customFormat="1" ht="15.6" x14ac:dyDescent="0.3"/>
    <row r="47" s="2" customFormat="1" ht="15.6" x14ac:dyDescent="0.3"/>
    <row r="48" s="2" customFormat="1" ht="15.6" x14ac:dyDescent="0.3"/>
    <row r="49" s="2" customFormat="1" ht="15.6" x14ac:dyDescent="0.3"/>
    <row r="50" s="2" customFormat="1" ht="15.6" x14ac:dyDescent="0.3"/>
    <row r="51" s="2" customFormat="1" ht="15.6" x14ac:dyDescent="0.3"/>
    <row r="52" s="2" customFormat="1" ht="15.6" x14ac:dyDescent="0.3"/>
    <row r="53" s="2" customFormat="1" ht="15.6" x14ac:dyDescent="0.3"/>
    <row r="54" s="2" customFormat="1" ht="15.6" x14ac:dyDescent="0.3"/>
    <row r="55" s="2" customFormat="1" ht="15.6" x14ac:dyDescent="0.3"/>
    <row r="56" s="2" customFormat="1" ht="15.6" x14ac:dyDescent="0.3"/>
    <row r="57" s="2" customFormat="1" ht="15.6" x14ac:dyDescent="0.3"/>
    <row r="58" s="2" customFormat="1" ht="15.6" x14ac:dyDescent="0.3"/>
    <row r="59" s="2" customFormat="1" ht="15.6" x14ac:dyDescent="0.3"/>
    <row r="60" s="2" customFormat="1" ht="15.6" x14ac:dyDescent="0.3"/>
    <row r="61" s="2" customFormat="1" ht="15.6" x14ac:dyDescent="0.3"/>
    <row r="62" s="2" customFormat="1" ht="15.6" x14ac:dyDescent="0.3"/>
    <row r="63" s="2" customFormat="1" ht="15.6" x14ac:dyDescent="0.3"/>
    <row r="64" s="2" customFormat="1" ht="15.6" x14ac:dyDescent="0.3"/>
    <row r="65" s="2" customFormat="1" ht="15.6" x14ac:dyDescent="0.3"/>
    <row r="66" s="2" customFormat="1" ht="15.6" x14ac:dyDescent="0.3"/>
    <row r="67" s="2" customFormat="1" ht="15.6" x14ac:dyDescent="0.3"/>
    <row r="68" s="2" customFormat="1" ht="15.6" x14ac:dyDescent="0.3"/>
    <row r="69" s="2" customFormat="1" ht="15.6" x14ac:dyDescent="0.3"/>
    <row r="70" s="2" customFormat="1" ht="15.6" x14ac:dyDescent="0.3"/>
    <row r="71" s="2" customFormat="1" ht="15.6" x14ac:dyDescent="0.3"/>
    <row r="72" s="2" customFormat="1" ht="15.6" x14ac:dyDescent="0.3"/>
    <row r="73" s="2" customFormat="1" ht="15.6" x14ac:dyDescent="0.3"/>
    <row r="74" s="2" customFormat="1" ht="15.6" x14ac:dyDescent="0.3"/>
    <row r="75" s="2" customFormat="1" ht="15.6" x14ac:dyDescent="0.3"/>
    <row r="76" s="2" customFormat="1" ht="15.6" x14ac:dyDescent="0.3"/>
    <row r="77" s="2" customFormat="1" ht="15.6" x14ac:dyDescent="0.3"/>
    <row r="78" s="2" customFormat="1" ht="15.6" x14ac:dyDescent="0.3"/>
    <row r="79" s="2" customFormat="1" ht="15.6" x14ac:dyDescent="0.3"/>
    <row r="80" s="2" customFormat="1" ht="15.6" x14ac:dyDescent="0.3"/>
    <row r="81" s="2" customFormat="1" ht="15.6" x14ac:dyDescent="0.3"/>
    <row r="82" s="2" customFormat="1" ht="15.6" x14ac:dyDescent="0.3"/>
    <row r="83" s="2" customFormat="1" ht="15.6" x14ac:dyDescent="0.3"/>
    <row r="84" s="2" customFormat="1" ht="15.6" x14ac:dyDescent="0.3"/>
    <row r="85" s="2" customFormat="1" ht="15.6" x14ac:dyDescent="0.3"/>
    <row r="86" s="2" customFormat="1" ht="15.6" x14ac:dyDescent="0.3"/>
    <row r="87" s="2" customFormat="1" ht="15.6" x14ac:dyDescent="0.3"/>
    <row r="88" s="2" customFormat="1" ht="15.6" x14ac:dyDescent="0.3"/>
    <row r="89" s="2" customFormat="1" ht="15.6" x14ac:dyDescent="0.3"/>
    <row r="90" s="2" customFormat="1" ht="15.6" x14ac:dyDescent="0.3"/>
    <row r="91" s="2" customFormat="1" ht="15.6" x14ac:dyDescent="0.3"/>
    <row r="92" s="2" customFormat="1" ht="15.6" x14ac:dyDescent="0.3"/>
    <row r="93" s="2" customFormat="1" ht="15.6" x14ac:dyDescent="0.3"/>
    <row r="94" s="2" customFormat="1" ht="15.6" x14ac:dyDescent="0.3"/>
    <row r="95" s="2" customFormat="1" ht="15.6" x14ac:dyDescent="0.3"/>
    <row r="96" s="2" customFormat="1" ht="15.6" x14ac:dyDescent="0.3"/>
    <row r="97" s="2" customFormat="1" ht="15.6" x14ac:dyDescent="0.3"/>
    <row r="98" s="2" customFormat="1" ht="15.6" x14ac:dyDescent="0.3"/>
    <row r="99" s="2" customFormat="1" ht="15.6" x14ac:dyDescent="0.3"/>
    <row r="100" s="2" customFormat="1" ht="15.6" x14ac:dyDescent="0.3"/>
    <row r="101" s="2" customFormat="1" ht="15.6" x14ac:dyDescent="0.3"/>
    <row r="102" s="2" customFormat="1" ht="15.6" x14ac:dyDescent="0.3"/>
    <row r="103" s="2" customFormat="1" ht="15.6" x14ac:dyDescent="0.3"/>
    <row r="104" s="2" customFormat="1" ht="15.6" x14ac:dyDescent="0.3"/>
    <row r="105" s="2" customFormat="1" ht="15.6" x14ac:dyDescent="0.3"/>
    <row r="106" s="2" customFormat="1" ht="15.6" x14ac:dyDescent="0.3"/>
    <row r="107" s="2" customFormat="1" ht="15.6" x14ac:dyDescent="0.3"/>
    <row r="108" s="2" customFormat="1" ht="15.6" x14ac:dyDescent="0.3"/>
    <row r="109" s="2" customFormat="1" ht="15.6" x14ac:dyDescent="0.3"/>
    <row r="110" s="2" customFormat="1" ht="15.6" x14ac:dyDescent="0.3"/>
    <row r="111" s="2" customFormat="1" ht="15.6" x14ac:dyDescent="0.3"/>
    <row r="112" s="2" customFormat="1" ht="15.6" x14ac:dyDescent="0.3"/>
    <row r="113" s="2" customFormat="1" ht="15.6" x14ac:dyDescent="0.3"/>
    <row r="114" s="2" customFormat="1" ht="15.6" x14ac:dyDescent="0.3"/>
    <row r="115" s="2" customFormat="1" ht="15.6" x14ac:dyDescent="0.3"/>
    <row r="116" s="2" customFormat="1" ht="15.6" x14ac:dyDescent="0.3"/>
    <row r="117" s="2" customFormat="1" ht="15.6" x14ac:dyDescent="0.3"/>
    <row r="118" s="2" customFormat="1" ht="15.6" x14ac:dyDescent="0.3"/>
    <row r="119" s="2" customFormat="1" ht="15.6" x14ac:dyDescent="0.3"/>
    <row r="120" s="2" customFormat="1" ht="15.6" x14ac:dyDescent="0.3"/>
    <row r="121" s="2" customFormat="1" ht="15.6" x14ac:dyDescent="0.3"/>
    <row r="122" s="2" customFormat="1" ht="15.6" x14ac:dyDescent="0.3"/>
    <row r="123" s="2" customFormat="1" ht="15.6" x14ac:dyDescent="0.3"/>
    <row r="124" s="2" customFormat="1" ht="15.6" x14ac:dyDescent="0.3"/>
    <row r="125" s="2" customFormat="1" ht="15.6" x14ac:dyDescent="0.3"/>
    <row r="126" s="2" customFormat="1" ht="15.6" x14ac:dyDescent="0.3"/>
    <row r="127" s="2" customFormat="1" ht="15.6" x14ac:dyDescent="0.3"/>
    <row r="128" s="2" customFormat="1" ht="15.6" x14ac:dyDescent="0.3"/>
    <row r="129" s="2" customFormat="1" ht="15.6" x14ac:dyDescent="0.3"/>
    <row r="130" s="2" customFormat="1" ht="15.6" x14ac:dyDescent="0.3"/>
    <row r="131" s="2" customFormat="1" ht="15.6" x14ac:dyDescent="0.3"/>
    <row r="132" s="2" customFormat="1" ht="15.6" x14ac:dyDescent="0.3"/>
    <row r="133" s="2" customFormat="1" ht="15.6" x14ac:dyDescent="0.3"/>
    <row r="134" s="2" customFormat="1" ht="15.6" x14ac:dyDescent="0.3"/>
    <row r="135" s="2" customFormat="1" ht="15.6" x14ac:dyDescent="0.3"/>
    <row r="136" s="2" customFormat="1" ht="15.6" x14ac:dyDescent="0.3"/>
    <row r="137" s="2" customFormat="1" ht="15.6" x14ac:dyDescent="0.3"/>
    <row r="138" s="2" customFormat="1" ht="15.6" x14ac:dyDescent="0.3"/>
    <row r="139" s="2" customFormat="1" ht="15.6" x14ac:dyDescent="0.3"/>
    <row r="140" s="2" customFormat="1" ht="15.6" x14ac:dyDescent="0.3"/>
    <row r="141" s="2" customFormat="1" ht="15.6" x14ac:dyDescent="0.3"/>
    <row r="142" s="2" customFormat="1" ht="15.6" x14ac:dyDescent="0.3"/>
    <row r="143" s="2" customFormat="1" ht="15.6" x14ac:dyDescent="0.3"/>
    <row r="144" s="2" customFormat="1" ht="15.6" x14ac:dyDescent="0.3"/>
    <row r="145" s="2" customFormat="1" ht="15.6" x14ac:dyDescent="0.3"/>
    <row r="146" s="2" customFormat="1" ht="15.6" x14ac:dyDescent="0.3"/>
    <row r="147" s="2" customFormat="1" ht="15.6" x14ac:dyDescent="0.3"/>
    <row r="148" s="2" customFormat="1" ht="15.6" x14ac:dyDescent="0.3"/>
    <row r="149" s="2" customFormat="1" ht="15.6" x14ac:dyDescent="0.3"/>
    <row r="150" s="2" customFormat="1" ht="15.6" x14ac:dyDescent="0.3"/>
    <row r="151" s="2" customFormat="1" ht="15.6" x14ac:dyDescent="0.3"/>
    <row r="152" s="2" customFormat="1" ht="15.6" x14ac:dyDescent="0.3"/>
    <row r="153" s="2" customFormat="1" ht="15.6" x14ac:dyDescent="0.3"/>
    <row r="154" s="2" customFormat="1" ht="15.6" x14ac:dyDescent="0.3"/>
    <row r="155" s="2" customFormat="1" ht="15.6" x14ac:dyDescent="0.3"/>
    <row r="156" s="2" customFormat="1" ht="15.6" x14ac:dyDescent="0.3"/>
    <row r="157" s="2" customFormat="1" ht="15.6" x14ac:dyDescent="0.3"/>
    <row r="158" s="2" customFormat="1" ht="15.6" x14ac:dyDescent="0.3"/>
    <row r="159" s="2" customFormat="1" ht="15.6" x14ac:dyDescent="0.3"/>
    <row r="160" s="2" customFormat="1" ht="15.6" x14ac:dyDescent="0.3"/>
    <row r="161" s="2" customFormat="1" ht="15.6" x14ac:dyDescent="0.3"/>
    <row r="162" s="2" customFormat="1" ht="15.6" x14ac:dyDescent="0.3"/>
    <row r="163" s="2" customFormat="1" ht="15.6" x14ac:dyDescent="0.3"/>
    <row r="164" s="2" customFormat="1" ht="15.6" x14ac:dyDescent="0.3"/>
    <row r="165" s="2" customFormat="1" ht="15.6" x14ac:dyDescent="0.3"/>
    <row r="166" s="2" customFormat="1" ht="15.6" x14ac:dyDescent="0.3"/>
    <row r="167" s="2" customFormat="1" ht="15.6" x14ac:dyDescent="0.3"/>
    <row r="168" s="2" customFormat="1" ht="15.6" x14ac:dyDescent="0.3"/>
    <row r="169" s="2" customFormat="1" ht="15.6" x14ac:dyDescent="0.3"/>
    <row r="170" s="2" customFormat="1" ht="15.6" x14ac:dyDescent="0.3"/>
    <row r="171" s="2" customFormat="1" ht="15.6" x14ac:dyDescent="0.3"/>
    <row r="172" s="2" customFormat="1" ht="15.6" x14ac:dyDescent="0.3"/>
    <row r="173" s="2" customFormat="1" ht="15.6" x14ac:dyDescent="0.3"/>
    <row r="174" s="2" customFormat="1" ht="15.6" x14ac:dyDescent="0.3"/>
    <row r="175" s="2" customFormat="1" ht="15.6" x14ac:dyDescent="0.3"/>
    <row r="176" s="2" customFormat="1" ht="15.6" x14ac:dyDescent="0.3"/>
    <row r="177" s="2" customFormat="1" ht="15.6" x14ac:dyDescent="0.3"/>
    <row r="178" s="2" customFormat="1" ht="15.6" x14ac:dyDescent="0.3"/>
    <row r="179" s="2" customFormat="1" ht="15.6" x14ac:dyDescent="0.3"/>
    <row r="180" s="2" customFormat="1" ht="15.6" x14ac:dyDescent="0.3"/>
    <row r="181" s="2" customFormat="1" ht="15.6" x14ac:dyDescent="0.3"/>
    <row r="182" s="2" customFormat="1" ht="15.6" x14ac:dyDescent="0.3"/>
    <row r="183" s="2" customFormat="1" ht="15.6" x14ac:dyDescent="0.3"/>
    <row r="184" s="2" customFormat="1" ht="15.6" x14ac:dyDescent="0.3"/>
    <row r="185" s="2" customFormat="1" ht="15.6" x14ac:dyDescent="0.3"/>
    <row r="186" s="2" customFormat="1" ht="15.6" x14ac:dyDescent="0.3"/>
    <row r="187" s="2" customFormat="1" ht="15.6" x14ac:dyDescent="0.3"/>
    <row r="188" s="2" customFormat="1" ht="15.6" x14ac:dyDescent="0.3"/>
    <row r="189" s="2" customFormat="1" ht="15.6" x14ac:dyDescent="0.3"/>
    <row r="190" s="2" customFormat="1" ht="15.6" x14ac:dyDescent="0.3"/>
    <row r="191" s="2" customFormat="1" ht="15.6" x14ac:dyDescent="0.3"/>
    <row r="192" s="2" customFormat="1" ht="15.6" x14ac:dyDescent="0.3"/>
    <row r="193" s="2" customFormat="1" ht="15.6" x14ac:dyDescent="0.3"/>
    <row r="194" s="2" customFormat="1" ht="15.6" x14ac:dyDescent="0.3"/>
    <row r="195" s="2" customFormat="1" ht="15.6" x14ac:dyDescent="0.3"/>
    <row r="196" s="2" customFormat="1" ht="15.6" x14ac:dyDescent="0.3"/>
    <row r="197" s="2" customFormat="1" ht="15.6" x14ac:dyDescent="0.3"/>
    <row r="198" s="2" customFormat="1" ht="15.6" x14ac:dyDescent="0.3"/>
    <row r="199" s="2" customFormat="1" ht="15.6" x14ac:dyDescent="0.3"/>
    <row r="200" s="2" customFormat="1" ht="15.6" x14ac:dyDescent="0.3"/>
    <row r="201" s="2" customFormat="1" ht="15.6" x14ac:dyDescent="0.3"/>
    <row r="202" s="2" customFormat="1" ht="15.6" x14ac:dyDescent="0.3"/>
    <row r="203" s="2" customFormat="1" ht="15.6" x14ac:dyDescent="0.3"/>
    <row r="204" s="2" customFormat="1" ht="15.6" x14ac:dyDescent="0.3"/>
    <row r="205" s="2" customFormat="1" ht="15.6" x14ac:dyDescent="0.3"/>
    <row r="206" s="2" customFormat="1" ht="15.6" x14ac:dyDescent="0.3"/>
    <row r="207" s="2" customFormat="1" ht="15.6" x14ac:dyDescent="0.3"/>
    <row r="208" s="2" customFormat="1" ht="15.6" x14ac:dyDescent="0.3"/>
    <row r="209" s="2" customFormat="1" ht="15.6" x14ac:dyDescent="0.3"/>
    <row r="210" s="2" customFormat="1" ht="15.6" x14ac:dyDescent="0.3"/>
    <row r="211" s="2" customFormat="1" ht="15.6" x14ac:dyDescent="0.3"/>
    <row r="212" s="2" customFormat="1" ht="15.6" x14ac:dyDescent="0.3"/>
    <row r="213" s="2" customFormat="1" ht="15.6" x14ac:dyDescent="0.3"/>
    <row r="214" s="2" customFormat="1" ht="15.6" x14ac:dyDescent="0.3"/>
    <row r="215" s="2" customFormat="1" ht="15.6" x14ac:dyDescent="0.3"/>
    <row r="216" s="2" customFormat="1" ht="15.6" x14ac:dyDescent="0.3"/>
    <row r="217" s="2" customFormat="1" ht="15.6" x14ac:dyDescent="0.3"/>
    <row r="218" s="2" customFormat="1" ht="15.6" x14ac:dyDescent="0.3"/>
    <row r="219" s="2" customFormat="1" ht="15.6" x14ac:dyDescent="0.3"/>
    <row r="220" s="2" customFormat="1" ht="15.6" x14ac:dyDescent="0.3"/>
    <row r="221" s="2" customFormat="1" ht="15.6" x14ac:dyDescent="0.3"/>
    <row r="222" s="2" customFormat="1" ht="15.6" x14ac:dyDescent="0.3"/>
    <row r="223" s="2" customFormat="1" ht="15.6" x14ac:dyDescent="0.3"/>
    <row r="224" s="2" customFormat="1" ht="15.6" x14ac:dyDescent="0.3"/>
    <row r="225" s="2" customFormat="1" ht="15.6" x14ac:dyDescent="0.3"/>
    <row r="226" s="2" customFormat="1" ht="15.6" x14ac:dyDescent="0.3"/>
    <row r="227" s="2" customFormat="1" ht="15.6" x14ac:dyDescent="0.3"/>
    <row r="228" s="2" customFormat="1" ht="15.6" x14ac:dyDescent="0.3"/>
    <row r="229" s="2" customFormat="1" ht="15.6" x14ac:dyDescent="0.3"/>
    <row r="230" s="2" customFormat="1" ht="15.6" x14ac:dyDescent="0.3"/>
    <row r="231" s="2" customFormat="1" ht="15.6" x14ac:dyDescent="0.3"/>
    <row r="232" s="2" customFormat="1" ht="15.6" x14ac:dyDescent="0.3"/>
    <row r="233" s="2" customFormat="1" ht="15.6" x14ac:dyDescent="0.3"/>
    <row r="234" s="2" customFormat="1" ht="15.6" x14ac:dyDescent="0.3"/>
    <row r="235" s="2" customFormat="1" ht="15.6" x14ac:dyDescent="0.3"/>
    <row r="236" s="2" customFormat="1" ht="15.6" x14ac:dyDescent="0.3"/>
    <row r="237" s="2" customFormat="1" ht="15.6" x14ac:dyDescent="0.3"/>
    <row r="238" s="2" customFormat="1" ht="15.6" x14ac:dyDescent="0.3"/>
    <row r="239" s="2" customFormat="1" ht="15.6" x14ac:dyDescent="0.3"/>
    <row r="240" s="2" customFormat="1" ht="15.6" x14ac:dyDescent="0.3"/>
    <row r="241" s="2" customFormat="1" ht="15.6" x14ac:dyDescent="0.3"/>
    <row r="242" s="2" customFormat="1" ht="15.6" x14ac:dyDescent="0.3"/>
    <row r="243" s="2" customFormat="1" ht="15.6" x14ac:dyDescent="0.3"/>
    <row r="244" s="2" customFormat="1" ht="15.6" x14ac:dyDescent="0.3"/>
    <row r="245" s="2" customFormat="1" ht="15.6" x14ac:dyDescent="0.3"/>
    <row r="246" s="2" customFormat="1" ht="15.6" x14ac:dyDescent="0.3"/>
    <row r="247" s="2" customFormat="1" ht="15.6" x14ac:dyDescent="0.3"/>
    <row r="248" s="2" customFormat="1" ht="15.6" x14ac:dyDescent="0.3"/>
    <row r="249" s="2" customFormat="1" ht="15.6" x14ac:dyDescent="0.3"/>
    <row r="250" s="2" customFormat="1" ht="15.6" x14ac:dyDescent="0.3"/>
    <row r="251" s="2" customFormat="1" ht="15.6" x14ac:dyDescent="0.3"/>
    <row r="252" s="2" customFormat="1" ht="15.6" x14ac:dyDescent="0.3"/>
    <row r="253" s="2" customFormat="1" ht="15.6" x14ac:dyDescent="0.3"/>
    <row r="254" s="2" customFormat="1" ht="15.6" x14ac:dyDescent="0.3"/>
    <row r="255" s="2" customFormat="1" ht="15.6" x14ac:dyDescent="0.3"/>
    <row r="256" s="2" customFormat="1" ht="15.6" x14ac:dyDescent="0.3"/>
    <row r="257" s="2" customFormat="1" ht="15.6" x14ac:dyDescent="0.3"/>
    <row r="258" s="2" customFormat="1" ht="15.6" x14ac:dyDescent="0.3"/>
    <row r="259" s="2" customFormat="1" ht="15.6" x14ac:dyDescent="0.3"/>
    <row r="260" s="2" customFormat="1" ht="15.6" x14ac:dyDescent="0.3"/>
    <row r="261" s="2" customFormat="1" ht="15.6" x14ac:dyDescent="0.3"/>
    <row r="262" s="2" customFormat="1" ht="15.6" x14ac:dyDescent="0.3"/>
    <row r="263" s="2" customFormat="1" ht="15.6" x14ac:dyDescent="0.3"/>
    <row r="264" s="2" customFormat="1" ht="15.6" x14ac:dyDescent="0.3"/>
    <row r="265" s="2" customFormat="1" ht="15.6" x14ac:dyDescent="0.3"/>
    <row r="266" s="2" customFormat="1" ht="15.6" x14ac:dyDescent="0.3"/>
    <row r="267" s="2" customFormat="1" ht="15.6" x14ac:dyDescent="0.3"/>
    <row r="268" s="2" customFormat="1" ht="15.6" x14ac:dyDescent="0.3"/>
    <row r="269" s="2" customFormat="1" ht="15.6" x14ac:dyDescent="0.3"/>
    <row r="270" s="2" customFormat="1" ht="15.6" x14ac:dyDescent="0.3"/>
    <row r="271" s="2" customFormat="1" ht="15.6" x14ac:dyDescent="0.3"/>
    <row r="272" s="2" customFormat="1" ht="15.6" x14ac:dyDescent="0.3"/>
    <row r="273" s="2" customFormat="1" ht="15.6" x14ac:dyDescent="0.3"/>
    <row r="274" s="2" customFormat="1" ht="15.6" x14ac:dyDescent="0.3"/>
    <row r="275" s="2" customFormat="1" ht="15.6" x14ac:dyDescent="0.3"/>
    <row r="276" s="2" customFormat="1" ht="15.6" x14ac:dyDescent="0.3"/>
    <row r="277" s="2" customFormat="1" ht="15.6" x14ac:dyDescent="0.3"/>
    <row r="278" s="2" customFormat="1" ht="15.6" x14ac:dyDescent="0.3"/>
    <row r="279" s="2" customFormat="1" ht="15.6" x14ac:dyDescent="0.3"/>
    <row r="280" s="2" customFormat="1" ht="15.6" x14ac:dyDescent="0.3"/>
    <row r="281" s="2" customFormat="1" ht="15.6" x14ac:dyDescent="0.3"/>
    <row r="282" s="2" customFormat="1" ht="15.6" x14ac:dyDescent="0.3"/>
    <row r="283" s="2" customFormat="1" ht="15.6" x14ac:dyDescent="0.3"/>
    <row r="284" s="2" customFormat="1" ht="15.6" x14ac:dyDescent="0.3"/>
    <row r="285" s="2" customFormat="1" ht="15.6" x14ac:dyDescent="0.3"/>
    <row r="286" s="2" customFormat="1" ht="15.6" x14ac:dyDescent="0.3"/>
    <row r="287" s="2" customFormat="1" ht="15.6" x14ac:dyDescent="0.3"/>
    <row r="288" s="2" customFormat="1" ht="15.6" x14ac:dyDescent="0.3"/>
    <row r="289" s="2" customFormat="1" ht="15.6" x14ac:dyDescent="0.3"/>
    <row r="290" s="2" customFormat="1" ht="15.6" x14ac:dyDescent="0.3"/>
    <row r="291" s="2" customFormat="1" ht="15.6" x14ac:dyDescent="0.3"/>
    <row r="292" s="2" customFormat="1" ht="15.6" x14ac:dyDescent="0.3"/>
    <row r="293" s="2" customFormat="1" ht="15.6" x14ac:dyDescent="0.3"/>
    <row r="294" s="2" customFormat="1" ht="15.6" x14ac:dyDescent="0.3"/>
    <row r="295" s="2" customFormat="1" ht="15.6" x14ac:dyDescent="0.3"/>
    <row r="296" s="2" customFormat="1" ht="15.6" x14ac:dyDescent="0.3"/>
    <row r="297" s="2" customFormat="1" ht="15.6" x14ac:dyDescent="0.3"/>
    <row r="298" s="2" customFormat="1" ht="15.6" x14ac:dyDescent="0.3"/>
    <row r="299" s="2" customFormat="1" ht="15.6" x14ac:dyDescent="0.3"/>
    <row r="300" s="2" customFormat="1" ht="15.6" x14ac:dyDescent="0.3"/>
    <row r="301" s="2" customFormat="1" ht="15.6" x14ac:dyDescent="0.3"/>
    <row r="302" s="2" customFormat="1" ht="15.6" x14ac:dyDescent="0.3"/>
    <row r="303" s="2" customFormat="1" ht="15.6" x14ac:dyDescent="0.3"/>
    <row r="304" s="2" customFormat="1" ht="15.6" x14ac:dyDescent="0.3"/>
    <row r="305" s="2" customFormat="1" ht="15.6" x14ac:dyDescent="0.3"/>
    <row r="306" s="2" customFormat="1" ht="15.6" x14ac:dyDescent="0.3"/>
    <row r="307" s="2" customFormat="1" ht="15.6" x14ac:dyDescent="0.3"/>
    <row r="308" s="2" customFormat="1" ht="15.6" x14ac:dyDescent="0.3"/>
    <row r="309" s="2" customFormat="1" ht="15.6" x14ac:dyDescent="0.3"/>
    <row r="310" s="2" customFormat="1" ht="15.6" x14ac:dyDescent="0.3"/>
    <row r="311" s="2" customFormat="1" ht="15.6" x14ac:dyDescent="0.3"/>
    <row r="312" s="2" customFormat="1" ht="15.6" x14ac:dyDescent="0.3"/>
    <row r="313" s="2" customFormat="1" ht="15.6" x14ac:dyDescent="0.3"/>
    <row r="314" s="2" customFormat="1" ht="15.6" x14ac:dyDescent="0.3"/>
    <row r="315" s="2" customFormat="1" ht="15.6" x14ac:dyDescent="0.3"/>
    <row r="316" s="2" customFormat="1" ht="15.6" x14ac:dyDescent="0.3"/>
    <row r="317" s="2" customFormat="1" ht="15.6" x14ac:dyDescent="0.3"/>
    <row r="318" s="2" customFormat="1" ht="15.6" x14ac:dyDescent="0.3"/>
    <row r="319" s="2" customFormat="1" ht="15.6" x14ac:dyDescent="0.3"/>
    <row r="320" s="2" customFormat="1" ht="15.6" x14ac:dyDescent="0.3"/>
    <row r="321" s="2" customFormat="1" ht="15.6" x14ac:dyDescent="0.3"/>
    <row r="322" s="2" customFormat="1" ht="15.6" x14ac:dyDescent="0.3"/>
    <row r="323" s="2" customFormat="1" ht="15.6" x14ac:dyDescent="0.3"/>
    <row r="324" s="2" customFormat="1" ht="15.6" x14ac:dyDescent="0.3"/>
    <row r="325" s="2" customFormat="1" ht="15.6" x14ac:dyDescent="0.3"/>
    <row r="326" s="2" customFormat="1" ht="15.6" x14ac:dyDescent="0.3"/>
    <row r="327" s="2" customFormat="1" ht="15.6" x14ac:dyDescent="0.3"/>
    <row r="328" s="2" customFormat="1" ht="15.6" x14ac:dyDescent="0.3"/>
    <row r="329" s="2" customFormat="1" ht="15.6" x14ac:dyDescent="0.3"/>
    <row r="330" s="2" customFormat="1" ht="15.6" x14ac:dyDescent="0.3"/>
    <row r="331" s="2" customFormat="1" ht="15.6" x14ac:dyDescent="0.3"/>
    <row r="332" s="2" customFormat="1" ht="15.6" x14ac:dyDescent="0.3"/>
    <row r="333" s="2" customFormat="1" ht="15.6" x14ac:dyDescent="0.3"/>
    <row r="334" s="2" customFormat="1" ht="15.6" x14ac:dyDescent="0.3"/>
    <row r="335" s="2" customFormat="1" ht="15.6" x14ac:dyDescent="0.3"/>
    <row r="336" s="2" customFormat="1" ht="15.6" x14ac:dyDescent="0.3"/>
    <row r="337" s="2" customFormat="1" ht="15.6" x14ac:dyDescent="0.3"/>
    <row r="338" s="2" customFormat="1" ht="15.6" x14ac:dyDescent="0.3"/>
    <row r="339" s="2" customFormat="1" ht="15.6" x14ac:dyDescent="0.3"/>
    <row r="340" s="2" customFormat="1" ht="15.6" x14ac:dyDescent="0.3"/>
    <row r="341" s="2" customFormat="1" ht="15.6" x14ac:dyDescent="0.3"/>
    <row r="342" s="2" customFormat="1" ht="15.6" x14ac:dyDescent="0.3"/>
    <row r="343" s="2" customFormat="1" ht="15.6" x14ac:dyDescent="0.3"/>
    <row r="344" s="2" customFormat="1" ht="15.6" x14ac:dyDescent="0.3"/>
    <row r="345" s="2" customFormat="1" ht="15.6" x14ac:dyDescent="0.3"/>
    <row r="346" s="2" customFormat="1" ht="15.6" x14ac:dyDescent="0.3"/>
    <row r="347" s="2" customFormat="1" ht="15.6" x14ac:dyDescent="0.3"/>
    <row r="348" s="2" customFormat="1" ht="15.6" x14ac:dyDescent="0.3"/>
    <row r="349" s="2" customFormat="1" ht="15.6" x14ac:dyDescent="0.3"/>
    <row r="350" s="2" customFormat="1" ht="15.6" x14ac:dyDescent="0.3"/>
    <row r="351" s="2" customFormat="1" ht="15.6" x14ac:dyDescent="0.3"/>
    <row r="352" s="2" customFormat="1" ht="15.6" x14ac:dyDescent="0.3"/>
    <row r="353" s="2" customFormat="1" ht="15.6" x14ac:dyDescent="0.3"/>
    <row r="354" s="2" customFormat="1" ht="15.6" x14ac:dyDescent="0.3"/>
    <row r="355" s="2" customFormat="1" ht="15.6" x14ac:dyDescent="0.3"/>
    <row r="356" s="2" customFormat="1" ht="15.6" x14ac:dyDescent="0.3"/>
    <row r="357" s="2" customFormat="1" ht="15.6" x14ac:dyDescent="0.3"/>
    <row r="358" s="2" customFormat="1" ht="15.6" x14ac:dyDescent="0.3"/>
    <row r="359" s="2" customFormat="1" ht="15.6" x14ac:dyDescent="0.3"/>
    <row r="360" s="2" customFormat="1" ht="15.6" x14ac:dyDescent="0.3"/>
    <row r="361" s="2" customFormat="1" ht="15.6" x14ac:dyDescent="0.3"/>
    <row r="362" s="2" customFormat="1" ht="15.6" x14ac:dyDescent="0.3"/>
    <row r="363" s="2" customFormat="1" ht="15.6" x14ac:dyDescent="0.3"/>
    <row r="364" s="2" customFormat="1" ht="15.6" x14ac:dyDescent="0.3"/>
    <row r="365" s="2" customFormat="1" ht="15.6" x14ac:dyDescent="0.3"/>
    <row r="366" s="2" customFormat="1" ht="15.6" x14ac:dyDescent="0.3"/>
    <row r="367" s="2" customFormat="1" ht="15.6" x14ac:dyDescent="0.3"/>
    <row r="368" s="2" customFormat="1" ht="15.6" x14ac:dyDescent="0.3"/>
    <row r="369" s="2" customFormat="1" ht="15.6" x14ac:dyDescent="0.3"/>
    <row r="370" s="2" customFormat="1" ht="15.6" x14ac:dyDescent="0.3"/>
    <row r="371" s="2" customFormat="1" ht="15.6" x14ac:dyDescent="0.3"/>
    <row r="372" s="2" customFormat="1" ht="15.6" x14ac:dyDescent="0.3"/>
    <row r="373" s="2" customFormat="1" ht="15.6" x14ac:dyDescent="0.3"/>
    <row r="374" s="2" customFormat="1" ht="15.6" x14ac:dyDescent="0.3"/>
    <row r="375" s="2" customFormat="1" ht="15.6" x14ac:dyDescent="0.3"/>
    <row r="376" s="2" customFormat="1" ht="15.6" x14ac:dyDescent="0.3"/>
    <row r="377" s="2" customFormat="1" ht="15.6" x14ac:dyDescent="0.3"/>
    <row r="378" s="2" customFormat="1" ht="15.6" x14ac:dyDescent="0.3"/>
    <row r="379" s="2" customFormat="1" ht="15.6" x14ac:dyDescent="0.3"/>
    <row r="380" s="2" customFormat="1" ht="15.6" x14ac:dyDescent="0.3"/>
    <row r="381" s="2" customFormat="1" ht="15.6" x14ac:dyDescent="0.3"/>
    <row r="382" s="2" customFormat="1" ht="15.6" x14ac:dyDescent="0.3"/>
    <row r="383" s="2" customFormat="1" ht="15.6" x14ac:dyDescent="0.3"/>
    <row r="384" s="2" customFormat="1" ht="15.6" x14ac:dyDescent="0.3"/>
    <row r="385" s="2" customFormat="1" ht="15.6" x14ac:dyDescent="0.3"/>
    <row r="386" s="2" customFormat="1" ht="15.6" x14ac:dyDescent="0.3"/>
    <row r="387" s="2" customFormat="1" ht="15.6" x14ac:dyDescent="0.3"/>
    <row r="388" s="2" customFormat="1" ht="15.6" x14ac:dyDescent="0.3"/>
    <row r="389" s="2" customFormat="1" ht="15.6" x14ac:dyDescent="0.3"/>
    <row r="390" s="2" customFormat="1" ht="15.6" x14ac:dyDescent="0.3"/>
    <row r="391" s="2" customFormat="1" ht="15.6" x14ac:dyDescent="0.3"/>
    <row r="392" s="2" customFormat="1" ht="15.6" x14ac:dyDescent="0.3"/>
    <row r="393" s="2" customFormat="1" ht="15.6" x14ac:dyDescent="0.3"/>
    <row r="394" s="2" customFormat="1" ht="15.6" x14ac:dyDescent="0.3"/>
    <row r="395" s="2" customFormat="1" ht="15.6" x14ac:dyDescent="0.3"/>
    <row r="396" s="2" customFormat="1" ht="15.6" x14ac:dyDescent="0.3"/>
    <row r="397" s="2" customFormat="1" ht="15.6" x14ac:dyDescent="0.3"/>
    <row r="398" s="2" customFormat="1" ht="15.6" x14ac:dyDescent="0.3"/>
    <row r="399" s="2" customFormat="1" ht="15.6" x14ac:dyDescent="0.3"/>
    <row r="400" s="2" customFormat="1" ht="15.6" x14ac:dyDescent="0.3"/>
    <row r="401" s="2" customFormat="1" ht="15.6" x14ac:dyDescent="0.3"/>
    <row r="402" s="2" customFormat="1" ht="15.6" x14ac:dyDescent="0.3"/>
    <row r="403" s="2" customFormat="1" ht="15.6" x14ac:dyDescent="0.3"/>
    <row r="404" s="2" customFormat="1" ht="15.6" x14ac:dyDescent="0.3"/>
    <row r="405" s="2" customFormat="1" ht="15.6" x14ac:dyDescent="0.3"/>
    <row r="406" s="2" customFormat="1" ht="15.6" x14ac:dyDescent="0.3"/>
    <row r="407" s="2" customFormat="1" ht="15.6" x14ac:dyDescent="0.3"/>
    <row r="408" s="2" customFormat="1" ht="15.6" x14ac:dyDescent="0.3"/>
    <row r="409" s="2" customFormat="1" ht="15.6" x14ac:dyDescent="0.3"/>
    <row r="410" s="2" customFormat="1" ht="15.6" x14ac:dyDescent="0.3"/>
    <row r="411" s="2" customFormat="1" ht="15.6" x14ac:dyDescent="0.3"/>
    <row r="412" s="2" customFormat="1" ht="15.6" x14ac:dyDescent="0.3"/>
    <row r="413" s="2" customFormat="1" ht="15.6" x14ac:dyDescent="0.3"/>
    <row r="414" s="2" customFormat="1" ht="15.6" x14ac:dyDescent="0.3"/>
    <row r="415" s="2" customFormat="1" ht="15.6" x14ac:dyDescent="0.3"/>
    <row r="416" s="2" customFormat="1" ht="15.6" x14ac:dyDescent="0.3"/>
    <row r="417" s="2" customFormat="1" ht="15.6" x14ac:dyDescent="0.3"/>
    <row r="418" s="2" customFormat="1" ht="15.6" x14ac:dyDescent="0.3"/>
    <row r="419" s="2" customFormat="1" ht="15.6" x14ac:dyDescent="0.3"/>
    <row r="420" s="2" customFormat="1" ht="15.6" x14ac:dyDescent="0.3"/>
    <row r="421" s="2" customFormat="1" ht="15.6" x14ac:dyDescent="0.3"/>
    <row r="422" s="2" customFormat="1" ht="15.6" x14ac:dyDescent="0.3"/>
    <row r="423" s="2" customFormat="1" ht="15.6" x14ac:dyDescent="0.3"/>
    <row r="424" s="2" customFormat="1" ht="15.6" x14ac:dyDescent="0.3"/>
    <row r="425" s="2" customFormat="1" ht="15.6" x14ac:dyDescent="0.3"/>
    <row r="426" s="2" customFormat="1" ht="15.6" x14ac:dyDescent="0.3"/>
    <row r="427" s="2" customFormat="1" ht="15.6" x14ac:dyDescent="0.3"/>
    <row r="428" s="2" customFormat="1" ht="15.6" x14ac:dyDescent="0.3"/>
    <row r="429" s="2" customFormat="1" ht="15.6" x14ac:dyDescent="0.3"/>
    <row r="430" s="2" customFormat="1" ht="15.6" x14ac:dyDescent="0.3"/>
    <row r="431" s="2" customFormat="1" ht="15.6" x14ac:dyDescent="0.3"/>
    <row r="432" s="2" customFormat="1" ht="15.6" x14ac:dyDescent="0.3"/>
    <row r="433" s="2" customFormat="1" ht="15.6" x14ac:dyDescent="0.3"/>
    <row r="434" s="2" customFormat="1" ht="15.6" x14ac:dyDescent="0.3"/>
    <row r="435" s="2" customFormat="1" ht="15.6" x14ac:dyDescent="0.3"/>
    <row r="436" s="2" customFormat="1" ht="15.6" x14ac:dyDescent="0.3"/>
    <row r="437" s="2" customFormat="1" ht="15.6" x14ac:dyDescent="0.3"/>
    <row r="438" s="2" customFormat="1" ht="15.6" x14ac:dyDescent="0.3"/>
    <row r="439" s="2" customFormat="1" ht="15.6" x14ac:dyDescent="0.3"/>
    <row r="440" s="2" customFormat="1" ht="15.6" x14ac:dyDescent="0.3"/>
    <row r="441" s="2" customFormat="1" ht="15.6" x14ac:dyDescent="0.3"/>
    <row r="442" s="2" customFormat="1" ht="15.6" x14ac:dyDescent="0.3"/>
    <row r="443" s="2" customFormat="1" ht="15.6" x14ac:dyDescent="0.3"/>
    <row r="444" s="2" customFormat="1" ht="15.6" x14ac:dyDescent="0.3"/>
    <row r="445" s="2" customFormat="1" ht="15.6" x14ac:dyDescent="0.3"/>
    <row r="446" s="2" customFormat="1" ht="15.6" x14ac:dyDescent="0.3"/>
    <row r="447" s="2" customFormat="1" ht="15.6" x14ac:dyDescent="0.3"/>
    <row r="448" s="2" customFormat="1" ht="15.6" x14ac:dyDescent="0.3"/>
    <row r="449" s="2" customFormat="1" ht="15.6" x14ac:dyDescent="0.3"/>
    <row r="450" s="2" customFormat="1" ht="15.6" x14ac:dyDescent="0.3"/>
    <row r="451" s="2" customFormat="1" ht="15.6" x14ac:dyDescent="0.3"/>
    <row r="452" s="2" customFormat="1" ht="15.6" x14ac:dyDescent="0.3"/>
    <row r="453" s="2" customFormat="1" ht="15.6" x14ac:dyDescent="0.3"/>
    <row r="454" s="2" customFormat="1" ht="15.6" x14ac:dyDescent="0.3"/>
    <row r="455" s="2" customFormat="1" ht="15.6" x14ac:dyDescent="0.3"/>
    <row r="456" s="2" customFormat="1" ht="15.6" x14ac:dyDescent="0.3"/>
    <row r="457" s="2" customFormat="1" ht="15.6" x14ac:dyDescent="0.3"/>
    <row r="458" s="2" customFormat="1" ht="15.6" x14ac:dyDescent="0.3"/>
    <row r="459" s="2" customFormat="1" ht="15.6" x14ac:dyDescent="0.3"/>
    <row r="460" s="2" customFormat="1" ht="15.6" x14ac:dyDescent="0.3"/>
    <row r="461" s="2" customFormat="1" ht="15.6" x14ac:dyDescent="0.3"/>
    <row r="462" s="2" customFormat="1" ht="15.6" x14ac:dyDescent="0.3"/>
    <row r="463" s="2" customFormat="1" ht="15.6" x14ac:dyDescent="0.3"/>
    <row r="464" s="2" customFormat="1" ht="15.6" x14ac:dyDescent="0.3"/>
    <row r="465" s="2" customFormat="1" ht="15.6" x14ac:dyDescent="0.3"/>
    <row r="466" s="2" customFormat="1" ht="15.6" x14ac:dyDescent="0.3"/>
    <row r="467" s="2" customFormat="1" ht="15.6" x14ac:dyDescent="0.3"/>
    <row r="468" s="2" customFormat="1" ht="15.6" x14ac:dyDescent="0.3"/>
    <row r="469" s="2" customFormat="1" ht="15.6" x14ac:dyDescent="0.3"/>
    <row r="470" s="2" customFormat="1" ht="15.6" x14ac:dyDescent="0.3"/>
    <row r="471" s="2" customFormat="1" ht="15.6" x14ac:dyDescent="0.3"/>
    <row r="472" s="2" customFormat="1" ht="15.6" x14ac:dyDescent="0.3"/>
    <row r="473" s="2" customFormat="1" ht="15.6" x14ac:dyDescent="0.3"/>
    <row r="474" s="2" customFormat="1" ht="15.6" x14ac:dyDescent="0.3"/>
    <row r="475" s="2" customFormat="1" ht="15.6" x14ac:dyDescent="0.3"/>
    <row r="476" s="2" customFormat="1" ht="15.6" x14ac:dyDescent="0.3"/>
    <row r="477" s="2" customFormat="1" ht="15.6" x14ac:dyDescent="0.3"/>
    <row r="478" s="2" customFormat="1" ht="15.6" x14ac:dyDescent="0.3"/>
    <row r="479" s="2" customFormat="1" ht="15.6" x14ac:dyDescent="0.3"/>
    <row r="480" s="2" customFormat="1" ht="15.6" x14ac:dyDescent="0.3"/>
    <row r="481" s="2" customFormat="1" ht="15.6" x14ac:dyDescent="0.3"/>
    <row r="482" s="2" customFormat="1" ht="15.6" x14ac:dyDescent="0.3"/>
    <row r="483" s="2" customFormat="1" ht="15.6" x14ac:dyDescent="0.3"/>
    <row r="484" s="2" customFormat="1" ht="15.6" x14ac:dyDescent="0.3"/>
    <row r="485" s="2" customFormat="1" ht="15.6" x14ac:dyDescent="0.3"/>
    <row r="486" s="2" customFormat="1" ht="15.6" x14ac:dyDescent="0.3"/>
    <row r="487" s="2" customFormat="1" ht="15.6" x14ac:dyDescent="0.3"/>
    <row r="488" s="2" customFormat="1" ht="15.6" x14ac:dyDescent="0.3"/>
    <row r="489" s="2" customFormat="1" ht="15.6" x14ac:dyDescent="0.3"/>
    <row r="490" s="2" customFormat="1" ht="15.6" x14ac:dyDescent="0.3"/>
    <row r="491" s="2" customFormat="1" ht="15.6" x14ac:dyDescent="0.3"/>
    <row r="492" s="2" customFormat="1" ht="15.6" x14ac:dyDescent="0.3"/>
    <row r="493" s="2" customFormat="1" ht="15.6" x14ac:dyDescent="0.3"/>
    <row r="494" s="2" customFormat="1" ht="15.6" x14ac:dyDescent="0.3"/>
    <row r="495" s="2" customFormat="1" ht="15.6" x14ac:dyDescent="0.3"/>
    <row r="496" s="2" customFormat="1" ht="15.6" x14ac:dyDescent="0.3"/>
    <row r="497" s="2" customFormat="1" ht="15.6" x14ac:dyDescent="0.3"/>
    <row r="498" s="2" customFormat="1" ht="15.6" x14ac:dyDescent="0.3"/>
    <row r="499" s="2" customFormat="1" ht="15.6" x14ac:dyDescent="0.3"/>
    <row r="500" s="2" customFormat="1" ht="15.6" x14ac:dyDescent="0.3"/>
    <row r="501" s="2" customFormat="1" ht="15.6" x14ac:dyDescent="0.3"/>
    <row r="502" s="2" customFormat="1" ht="15.6" x14ac:dyDescent="0.3"/>
    <row r="503" s="2" customFormat="1" ht="15.6" x14ac:dyDescent="0.3"/>
    <row r="504" s="2" customFormat="1" ht="15.6" x14ac:dyDescent="0.3"/>
    <row r="505" s="2" customFormat="1" ht="15.6" x14ac:dyDescent="0.3"/>
    <row r="506" s="2" customFormat="1" ht="15.6" x14ac:dyDescent="0.3"/>
    <row r="507" s="2" customFormat="1" ht="15.6" x14ac:dyDescent="0.3"/>
    <row r="508" s="2" customFormat="1" ht="15.6" x14ac:dyDescent="0.3"/>
    <row r="509" s="2" customFormat="1" ht="15.6" x14ac:dyDescent="0.3"/>
    <row r="510" s="2" customFormat="1" ht="15.6" x14ac:dyDescent="0.3"/>
    <row r="511" s="2" customFormat="1" ht="15.6" x14ac:dyDescent="0.3"/>
    <row r="512" s="2" customFormat="1" ht="15.6" x14ac:dyDescent="0.3"/>
    <row r="513" s="2" customFormat="1" ht="15.6" x14ac:dyDescent="0.3"/>
    <row r="514" s="2" customFormat="1" ht="15.6" x14ac:dyDescent="0.3"/>
    <row r="515" s="2" customFormat="1" ht="15.6" x14ac:dyDescent="0.3"/>
    <row r="516" s="2" customFormat="1" ht="15.6" x14ac:dyDescent="0.3"/>
    <row r="517" s="2" customFormat="1" ht="15.6" x14ac:dyDescent="0.3"/>
    <row r="518" s="2" customFormat="1" ht="15.6" x14ac:dyDescent="0.3"/>
    <row r="519" s="2" customFormat="1" ht="15.6" x14ac:dyDescent="0.3"/>
    <row r="520" s="2" customFormat="1" ht="15.6" x14ac:dyDescent="0.3"/>
    <row r="521" s="2" customFormat="1" ht="15.6" x14ac:dyDescent="0.3"/>
    <row r="522" s="2" customFormat="1" ht="15.6" x14ac:dyDescent="0.3"/>
    <row r="523" s="2" customFormat="1" ht="15.6" x14ac:dyDescent="0.3"/>
    <row r="524" s="2" customFormat="1" ht="15.6" x14ac:dyDescent="0.3"/>
    <row r="525" s="2" customFormat="1" ht="15.6" x14ac:dyDescent="0.3"/>
    <row r="526" s="2" customFormat="1" ht="15.6" x14ac:dyDescent="0.3"/>
    <row r="527" s="2" customFormat="1" ht="15.6" x14ac:dyDescent="0.3"/>
    <row r="528" s="2" customFormat="1" ht="15.6" x14ac:dyDescent="0.3"/>
    <row r="529" s="2" customFormat="1" ht="15.6" x14ac:dyDescent="0.3"/>
    <row r="530" s="2" customFormat="1" ht="15.6" x14ac:dyDescent="0.3"/>
    <row r="531" s="2" customFormat="1" ht="15.6" x14ac:dyDescent="0.3"/>
    <row r="532" s="2" customFormat="1" ht="15.6" x14ac:dyDescent="0.3"/>
    <row r="533" s="2" customFormat="1" ht="15.6" x14ac:dyDescent="0.3"/>
    <row r="534" s="2" customFormat="1" ht="15.6" x14ac:dyDescent="0.3"/>
    <row r="535" s="2" customFormat="1" ht="15.6" x14ac:dyDescent="0.3"/>
    <row r="536" s="2" customFormat="1" ht="15.6" x14ac:dyDescent="0.3"/>
    <row r="537" s="2" customFormat="1" ht="15.6" x14ac:dyDescent="0.3"/>
    <row r="538" s="2" customFormat="1" ht="15.6" x14ac:dyDescent="0.3"/>
    <row r="539" s="2" customFormat="1" ht="15.6" x14ac:dyDescent="0.3"/>
    <row r="540" s="2" customFormat="1" ht="15.6" x14ac:dyDescent="0.3"/>
    <row r="541" s="2" customFormat="1" ht="15.6" x14ac:dyDescent="0.3"/>
    <row r="542" s="2" customFormat="1" ht="15.6" x14ac:dyDescent="0.3"/>
    <row r="543" s="2" customFormat="1" ht="15.6" x14ac:dyDescent="0.3"/>
    <row r="544" s="2" customFormat="1" ht="15.6" x14ac:dyDescent="0.3"/>
    <row r="545" s="2" customFormat="1" ht="15.6" x14ac:dyDescent="0.3"/>
    <row r="546" s="2" customFormat="1" ht="15.6" x14ac:dyDescent="0.3"/>
    <row r="547" s="2" customFormat="1" ht="15.6" x14ac:dyDescent="0.3"/>
    <row r="548" s="2" customFormat="1" ht="15.6" x14ac:dyDescent="0.3"/>
    <row r="549" s="2" customFormat="1" ht="15.6" x14ac:dyDescent="0.3"/>
    <row r="550" s="2" customFormat="1" ht="15.6" x14ac:dyDescent="0.3"/>
    <row r="551" s="2" customFormat="1" ht="15.6" x14ac:dyDescent="0.3"/>
    <row r="552" s="2" customFormat="1" ht="15.6" x14ac:dyDescent="0.3"/>
    <row r="553" s="2" customFormat="1" ht="15.6" x14ac:dyDescent="0.3"/>
    <row r="554" s="2" customFormat="1" ht="15.6" x14ac:dyDescent="0.3"/>
    <row r="555" s="2" customFormat="1" ht="15.6" x14ac:dyDescent="0.3"/>
    <row r="556" s="2" customFormat="1" ht="15.6" x14ac:dyDescent="0.3"/>
    <row r="557" s="2" customFormat="1" ht="15.6" x14ac:dyDescent="0.3"/>
    <row r="558" s="2" customFormat="1" ht="15.6" x14ac:dyDescent="0.3"/>
    <row r="559" s="2" customFormat="1" ht="15.6" x14ac:dyDescent="0.3"/>
    <row r="560" s="2" customFormat="1" ht="15.6" x14ac:dyDescent="0.3"/>
    <row r="561" s="2" customFormat="1" ht="15.6" x14ac:dyDescent="0.3"/>
    <row r="562" s="2" customFormat="1" ht="15.6" x14ac:dyDescent="0.3"/>
    <row r="563" s="2" customFormat="1" ht="15.6" x14ac:dyDescent="0.3"/>
    <row r="564" s="2" customFormat="1" ht="15.6" x14ac:dyDescent="0.3"/>
    <row r="565" s="2" customFormat="1" ht="15.6" x14ac:dyDescent="0.3"/>
    <row r="566" s="2" customFormat="1" ht="15.6" x14ac:dyDescent="0.3"/>
    <row r="567" s="2" customFormat="1" ht="15.6" x14ac:dyDescent="0.3"/>
    <row r="568" s="2" customFormat="1" ht="15.6" x14ac:dyDescent="0.3"/>
    <row r="569" s="2" customFormat="1" ht="15.6" x14ac:dyDescent="0.3"/>
    <row r="570" s="2" customFormat="1" ht="15.6" x14ac:dyDescent="0.3"/>
    <row r="571" s="2" customFormat="1" ht="15.6" x14ac:dyDescent="0.3"/>
    <row r="572" s="2" customFormat="1" ht="15.6" x14ac:dyDescent="0.3"/>
    <row r="573" s="2" customFormat="1" ht="15.6" x14ac:dyDescent="0.3"/>
    <row r="574" s="2" customFormat="1" ht="15.6" x14ac:dyDescent="0.3"/>
    <row r="575" s="2" customFormat="1" ht="15.6" x14ac:dyDescent="0.3"/>
    <row r="576" s="2" customFormat="1" ht="15.6" x14ac:dyDescent="0.3"/>
    <row r="577" s="2" customFormat="1" ht="15.6" x14ac:dyDescent="0.3"/>
    <row r="578" s="2" customFormat="1" ht="15.6" x14ac:dyDescent="0.3"/>
    <row r="579" s="2" customFormat="1" ht="15.6" x14ac:dyDescent="0.3"/>
    <row r="580" s="2" customFormat="1" ht="15.6" x14ac:dyDescent="0.3"/>
    <row r="581" s="2" customFormat="1" ht="15.6" x14ac:dyDescent="0.3"/>
    <row r="582" s="2" customFormat="1" ht="15.6" x14ac:dyDescent="0.3"/>
    <row r="583" s="2" customFormat="1" ht="15.6" x14ac:dyDescent="0.3"/>
    <row r="584" s="2" customFormat="1" ht="15.6" x14ac:dyDescent="0.3"/>
    <row r="585" s="2" customFormat="1" ht="15.6" x14ac:dyDescent="0.3"/>
    <row r="586" s="2" customFormat="1" ht="15.6" x14ac:dyDescent="0.3"/>
    <row r="587" s="2" customFormat="1" ht="15.6" x14ac:dyDescent="0.3"/>
    <row r="588" s="2" customFormat="1" ht="15.6" x14ac:dyDescent="0.3"/>
    <row r="589" s="2" customFormat="1" ht="15.6" x14ac:dyDescent="0.3"/>
    <row r="590" s="2" customFormat="1" ht="15.6" x14ac:dyDescent="0.3"/>
    <row r="591" s="2" customFormat="1" ht="15.6" x14ac:dyDescent="0.3"/>
    <row r="592" s="2" customFormat="1" ht="15.6" x14ac:dyDescent="0.3"/>
    <row r="593" s="2" customFormat="1" ht="15.6" x14ac:dyDescent="0.3"/>
    <row r="594" s="2" customFormat="1" ht="15.6" x14ac:dyDescent="0.3"/>
    <row r="595" s="2" customFormat="1" ht="15.6" x14ac:dyDescent="0.3"/>
    <row r="596" s="2" customFormat="1" ht="15.6" x14ac:dyDescent="0.3"/>
    <row r="597" s="2" customFormat="1" ht="15.6" x14ac:dyDescent="0.3"/>
    <row r="598" s="2" customFormat="1" ht="15.6" x14ac:dyDescent="0.3"/>
    <row r="599" s="2" customFormat="1" ht="15.6" x14ac:dyDescent="0.3"/>
    <row r="600" s="2" customFormat="1" ht="15.6" x14ac:dyDescent="0.3"/>
    <row r="601" s="2" customFormat="1" ht="15.6" x14ac:dyDescent="0.3"/>
    <row r="602" s="2" customFormat="1" ht="15.6" x14ac:dyDescent="0.3"/>
    <row r="603" s="2" customFormat="1" ht="15.6" x14ac:dyDescent="0.3"/>
    <row r="604" s="2" customFormat="1" ht="15.6" x14ac:dyDescent="0.3"/>
    <row r="605" s="2" customFormat="1" ht="15.6" x14ac:dyDescent="0.3"/>
    <row r="606" s="2" customFormat="1" ht="15.6" x14ac:dyDescent="0.3"/>
    <row r="607" s="2" customFormat="1" ht="15.6" x14ac:dyDescent="0.3"/>
    <row r="608" s="2" customFormat="1" ht="15.6" x14ac:dyDescent="0.3"/>
    <row r="609" s="2" customFormat="1" ht="15.6" x14ac:dyDescent="0.3"/>
    <row r="610" s="2" customFormat="1" ht="15.6" x14ac:dyDescent="0.3"/>
    <row r="611" s="2" customFormat="1" ht="15.6" x14ac:dyDescent="0.3"/>
    <row r="612" s="2" customFormat="1" ht="15.6" x14ac:dyDescent="0.3"/>
    <row r="613" s="2" customFormat="1" ht="15.6" x14ac:dyDescent="0.3"/>
    <row r="614" s="2" customFormat="1" ht="15.6" x14ac:dyDescent="0.3"/>
    <row r="615" s="2" customFormat="1" ht="15.6" x14ac:dyDescent="0.3"/>
    <row r="616" s="2" customFormat="1" ht="15.6" x14ac:dyDescent="0.3"/>
    <row r="617" s="2" customFormat="1" ht="15.6" x14ac:dyDescent="0.3"/>
    <row r="618" s="2" customFormat="1" ht="15.6" x14ac:dyDescent="0.3"/>
    <row r="619" s="2" customFormat="1" ht="15.6" x14ac:dyDescent="0.3"/>
    <row r="620" s="2" customFormat="1" ht="15.6" x14ac:dyDescent="0.3"/>
    <row r="621" s="2" customFormat="1" ht="15.6" x14ac:dyDescent="0.3"/>
    <row r="622" s="2" customFormat="1" ht="15.6" x14ac:dyDescent="0.3"/>
    <row r="623" s="2" customFormat="1" ht="15.6" x14ac:dyDescent="0.3"/>
    <row r="624" s="2" customFormat="1" ht="15.6" x14ac:dyDescent="0.3"/>
    <row r="625" s="2" customFormat="1" ht="15.6" x14ac:dyDescent="0.3"/>
    <row r="626" s="2" customFormat="1" ht="15.6" x14ac:dyDescent="0.3"/>
    <row r="627" s="2" customFormat="1" ht="15.6" x14ac:dyDescent="0.3"/>
    <row r="628" s="2" customFormat="1" ht="15.6" x14ac:dyDescent="0.3"/>
    <row r="629" s="2" customFormat="1" ht="15.6" x14ac:dyDescent="0.3"/>
    <row r="630" s="2" customFormat="1" ht="15.6" x14ac:dyDescent="0.3"/>
    <row r="631" s="2" customFormat="1" ht="15.6" x14ac:dyDescent="0.3"/>
    <row r="632" s="2" customFormat="1" ht="15.6" x14ac:dyDescent="0.3"/>
    <row r="633" s="2" customFormat="1" ht="15.6" x14ac:dyDescent="0.3"/>
    <row r="634" s="2" customFormat="1" ht="15.6" x14ac:dyDescent="0.3"/>
    <row r="635" s="2" customFormat="1" ht="15.6" x14ac:dyDescent="0.3"/>
    <row r="636" s="2" customFormat="1" ht="15.6" x14ac:dyDescent="0.3"/>
    <row r="637" s="2" customFormat="1" ht="15.6" x14ac:dyDescent="0.3"/>
    <row r="638" s="2" customFormat="1" ht="15.6" x14ac:dyDescent="0.3"/>
    <row r="639" s="2" customFormat="1" ht="15.6" x14ac:dyDescent="0.3"/>
    <row r="640" s="2" customFormat="1" ht="15.6" x14ac:dyDescent="0.3"/>
    <row r="641" s="2" customFormat="1" ht="15.6" x14ac:dyDescent="0.3"/>
    <row r="642" s="2" customFormat="1" ht="15.6" x14ac:dyDescent="0.3"/>
    <row r="643" s="2" customFormat="1" ht="15.6" x14ac:dyDescent="0.3"/>
    <row r="644" s="2" customFormat="1" ht="15.6" x14ac:dyDescent="0.3"/>
    <row r="645" s="2" customFormat="1" ht="15.6" x14ac:dyDescent="0.3"/>
    <row r="646" s="2" customFormat="1" ht="15.6" x14ac:dyDescent="0.3"/>
    <row r="647" s="2" customFormat="1" ht="15.6" x14ac:dyDescent="0.3"/>
    <row r="648" s="2" customFormat="1" ht="15.6" x14ac:dyDescent="0.3"/>
    <row r="649" s="2" customFormat="1" ht="15.6" x14ac:dyDescent="0.3"/>
    <row r="650" s="2" customFormat="1" ht="15.6" x14ac:dyDescent="0.3"/>
    <row r="651" s="2" customFormat="1" ht="15.6" x14ac:dyDescent="0.3"/>
    <row r="652" s="2" customFormat="1" ht="15.6" x14ac:dyDescent="0.3"/>
    <row r="653" s="2" customFormat="1" ht="15.6" x14ac:dyDescent="0.3"/>
    <row r="654" s="2" customFormat="1" ht="15.6" x14ac:dyDescent="0.3"/>
    <row r="655" s="2" customFormat="1" ht="15.6" x14ac:dyDescent="0.3"/>
    <row r="656" s="2" customFormat="1" ht="15.6" x14ac:dyDescent="0.3"/>
    <row r="657" s="2" customFormat="1" ht="15.6" x14ac:dyDescent="0.3"/>
    <row r="658" s="2" customFormat="1" ht="15.6" x14ac:dyDescent="0.3"/>
    <row r="659" s="2" customFormat="1" ht="15.6" x14ac:dyDescent="0.3"/>
    <row r="660" s="2" customFormat="1" ht="15.6" x14ac:dyDescent="0.3"/>
    <row r="661" s="2" customFormat="1" ht="15.6" x14ac:dyDescent="0.3"/>
    <row r="662" s="2" customFormat="1" ht="15.6" x14ac:dyDescent="0.3"/>
    <row r="663" s="2" customFormat="1" ht="15.6" x14ac:dyDescent="0.3"/>
    <row r="664" s="2" customFormat="1" ht="15.6" x14ac:dyDescent="0.3"/>
    <row r="665" s="2" customFormat="1" ht="15.6" x14ac:dyDescent="0.3"/>
    <row r="666" s="2" customFormat="1" ht="15.6" x14ac:dyDescent="0.3"/>
    <row r="667" s="2" customFormat="1" ht="15.6" x14ac:dyDescent="0.3"/>
    <row r="668" s="2" customFormat="1" ht="15.6" x14ac:dyDescent="0.3"/>
    <row r="669" s="2" customFormat="1" ht="15.6" x14ac:dyDescent="0.3"/>
    <row r="670" s="2" customFormat="1" ht="15.6" x14ac:dyDescent="0.3"/>
    <row r="671" s="2" customFormat="1" ht="15.6" x14ac:dyDescent="0.3"/>
    <row r="672" s="2" customFormat="1" ht="15.6" x14ac:dyDescent="0.3"/>
    <row r="673" s="2" customFormat="1" ht="15.6" x14ac:dyDescent="0.3"/>
    <row r="674" s="2" customFormat="1" ht="15.6" x14ac:dyDescent="0.3"/>
    <row r="675" s="2" customFormat="1" ht="15.6" x14ac:dyDescent="0.3"/>
    <row r="676" s="2" customFormat="1" ht="15.6" x14ac:dyDescent="0.3"/>
    <row r="677" s="2" customFormat="1" ht="15.6" x14ac:dyDescent="0.3"/>
    <row r="678" s="2" customFormat="1" ht="15.6" x14ac:dyDescent="0.3"/>
    <row r="679" s="2" customFormat="1" ht="15.6" x14ac:dyDescent="0.3"/>
    <row r="680" s="2" customFormat="1" ht="15.6" x14ac:dyDescent="0.3"/>
    <row r="681" s="2" customFormat="1" ht="15.6" x14ac:dyDescent="0.3"/>
    <row r="682" s="2" customFormat="1" ht="15.6" x14ac:dyDescent="0.3"/>
    <row r="683" s="2" customFormat="1" ht="15.6" x14ac:dyDescent="0.3"/>
    <row r="684" s="2" customFormat="1" ht="15.6" x14ac:dyDescent="0.3"/>
    <row r="685" s="2" customFormat="1" ht="15.6" x14ac:dyDescent="0.3"/>
    <row r="686" s="2" customFormat="1" ht="15.6" x14ac:dyDescent="0.3"/>
    <row r="687" s="2" customFormat="1" ht="15.6" x14ac:dyDescent="0.3"/>
    <row r="688" s="2" customFormat="1" ht="15.6" x14ac:dyDescent="0.3"/>
    <row r="689" s="2" customFormat="1" ht="15.6" x14ac:dyDescent="0.3"/>
    <row r="690" s="2" customFormat="1" ht="15.6" x14ac:dyDescent="0.3"/>
    <row r="691" s="2" customFormat="1" ht="15.6" x14ac:dyDescent="0.3"/>
    <row r="692" s="2" customFormat="1" ht="15.6" x14ac:dyDescent="0.3"/>
    <row r="693" s="2" customFormat="1" ht="15.6" x14ac:dyDescent="0.3"/>
    <row r="694" s="2" customFormat="1" ht="15.6" x14ac:dyDescent="0.3"/>
    <row r="695" s="2" customFormat="1" ht="15.6" x14ac:dyDescent="0.3"/>
    <row r="696" s="2" customFormat="1" ht="15.6" x14ac:dyDescent="0.3"/>
    <row r="697" s="2" customFormat="1" ht="15.6" x14ac:dyDescent="0.3"/>
    <row r="698" s="2" customFormat="1" ht="15.6" x14ac:dyDescent="0.3"/>
    <row r="699" s="2" customFormat="1" ht="15.6" x14ac:dyDescent="0.3"/>
    <row r="700" s="2" customFormat="1" ht="15.6" x14ac:dyDescent="0.3"/>
    <row r="701" s="2" customFormat="1" ht="15.6" x14ac:dyDescent="0.3"/>
    <row r="702" s="2" customFormat="1" ht="15.6" x14ac:dyDescent="0.3"/>
    <row r="703" s="2" customFormat="1" ht="15.6" x14ac:dyDescent="0.3"/>
    <row r="704" s="2" customFormat="1" ht="15.6" x14ac:dyDescent="0.3"/>
    <row r="705" s="2" customFormat="1" ht="15.6" x14ac:dyDescent="0.3"/>
    <row r="706" s="2" customFormat="1" ht="15.6" x14ac:dyDescent="0.3"/>
    <row r="707" s="2" customFormat="1" ht="15.6" x14ac:dyDescent="0.3"/>
    <row r="708" s="2" customFormat="1" ht="15.6" x14ac:dyDescent="0.3"/>
    <row r="709" s="2" customFormat="1" ht="15.6" x14ac:dyDescent="0.3"/>
    <row r="710" s="2" customFormat="1" ht="15.6" x14ac:dyDescent="0.3"/>
    <row r="711" s="2" customFormat="1" ht="15.6" x14ac:dyDescent="0.3"/>
    <row r="712" s="2" customFormat="1" ht="15.6" x14ac:dyDescent="0.3"/>
    <row r="713" s="2" customFormat="1" ht="15.6" x14ac:dyDescent="0.3"/>
    <row r="714" s="2" customFormat="1" ht="15.6" x14ac:dyDescent="0.3"/>
    <row r="715" s="2" customFormat="1" ht="15.6" x14ac:dyDescent="0.3"/>
    <row r="716" s="2" customFormat="1" ht="15.6" x14ac:dyDescent="0.3"/>
    <row r="717" s="2" customFormat="1" ht="15.6" x14ac:dyDescent="0.3"/>
    <row r="718" s="2" customFormat="1" ht="15.6" x14ac:dyDescent="0.3"/>
    <row r="719" s="2" customFormat="1" ht="15.6" x14ac:dyDescent="0.3"/>
    <row r="720" s="2" customFormat="1" ht="15.6" x14ac:dyDescent="0.3"/>
    <row r="721" s="2" customFormat="1" ht="15.6" x14ac:dyDescent="0.3"/>
    <row r="722" s="2" customFormat="1" ht="15.6" x14ac:dyDescent="0.3"/>
    <row r="723" s="2" customFormat="1" ht="15.6" x14ac:dyDescent="0.3"/>
    <row r="724" s="2" customFormat="1" ht="15.6" x14ac:dyDescent="0.3"/>
    <row r="725" s="2" customFormat="1" ht="15.6" x14ac:dyDescent="0.3"/>
    <row r="726" s="2" customFormat="1" ht="15.6" x14ac:dyDescent="0.3"/>
    <row r="727" s="2" customFormat="1" ht="15.6" x14ac:dyDescent="0.3"/>
    <row r="728" s="2" customFormat="1" ht="15.6" x14ac:dyDescent="0.3"/>
    <row r="729" s="2" customFormat="1" ht="15.6" x14ac:dyDescent="0.3"/>
    <row r="730" s="2" customFormat="1" ht="15.6" x14ac:dyDescent="0.3"/>
    <row r="731" s="2" customFormat="1" ht="15.6" x14ac:dyDescent="0.3"/>
    <row r="732" s="2" customFormat="1" ht="15.6" x14ac:dyDescent="0.3"/>
    <row r="733" s="2" customFormat="1" ht="15.6" x14ac:dyDescent="0.3"/>
    <row r="734" s="2" customFormat="1" ht="15.6" x14ac:dyDescent="0.3"/>
    <row r="735" s="2" customFormat="1" ht="15.6" x14ac:dyDescent="0.3"/>
    <row r="736" s="2" customFormat="1" ht="15.6" x14ac:dyDescent="0.3"/>
    <row r="737" s="2" customFormat="1" ht="15.6" x14ac:dyDescent="0.3"/>
    <row r="738" s="2" customFormat="1" ht="15.6" x14ac:dyDescent="0.3"/>
    <row r="739" s="2" customFormat="1" ht="15.6" x14ac:dyDescent="0.3"/>
    <row r="740" s="2" customFormat="1" ht="15.6" x14ac:dyDescent="0.3"/>
    <row r="741" s="2" customFormat="1" ht="15.6" x14ac:dyDescent="0.3"/>
    <row r="742" s="2" customFormat="1" ht="15.6" x14ac:dyDescent="0.3"/>
    <row r="743" s="2" customFormat="1" ht="15.6" x14ac:dyDescent="0.3"/>
    <row r="744" s="2" customFormat="1" ht="15.6" x14ac:dyDescent="0.3"/>
    <row r="745" s="2" customFormat="1" ht="15.6" x14ac:dyDescent="0.3"/>
    <row r="746" s="2" customFormat="1" ht="15.6" x14ac:dyDescent="0.3"/>
    <row r="747" s="2" customFormat="1" ht="15.6" x14ac:dyDescent="0.3"/>
    <row r="748" s="2" customFormat="1" ht="15.6" x14ac:dyDescent="0.3"/>
    <row r="749" s="2" customFormat="1" ht="15.6" x14ac:dyDescent="0.3"/>
    <row r="750" s="2" customFormat="1" ht="15.6" x14ac:dyDescent="0.3"/>
    <row r="751" s="2" customFormat="1" ht="15.6" x14ac:dyDescent="0.3"/>
    <row r="752" s="2" customFormat="1" ht="15.6" x14ac:dyDescent="0.3"/>
    <row r="753" s="2" customFormat="1" ht="15.6" x14ac:dyDescent="0.3"/>
    <row r="754" s="2" customFormat="1" ht="15.6" x14ac:dyDescent="0.3"/>
    <row r="755" s="2" customFormat="1" ht="15.6" x14ac:dyDescent="0.3"/>
    <row r="756" s="2" customFormat="1" ht="15.6" x14ac:dyDescent="0.3"/>
    <row r="757" s="2" customFormat="1" ht="15.6" x14ac:dyDescent="0.3"/>
    <row r="758" s="2" customFormat="1" ht="15.6" x14ac:dyDescent="0.3"/>
    <row r="759" s="2" customFormat="1" ht="15.6" x14ac:dyDescent="0.3"/>
    <row r="760" s="2" customFormat="1" ht="15.6" x14ac:dyDescent="0.3"/>
    <row r="761" s="2" customFormat="1" ht="15.6" x14ac:dyDescent="0.3"/>
    <row r="762" s="2" customFormat="1" ht="15.6" x14ac:dyDescent="0.3"/>
    <row r="763" s="2" customFormat="1" ht="15.6" x14ac:dyDescent="0.3"/>
    <row r="764" s="2" customFormat="1" ht="15.6" x14ac:dyDescent="0.3"/>
    <row r="765" s="2" customFormat="1" ht="15.6" x14ac:dyDescent="0.3"/>
    <row r="766" s="2" customFormat="1" ht="15.6" x14ac:dyDescent="0.3"/>
    <row r="767" s="2" customFormat="1" ht="15.6" x14ac:dyDescent="0.3"/>
    <row r="768" s="2" customFormat="1" ht="15.6" x14ac:dyDescent="0.3"/>
    <row r="769" s="2" customFormat="1" ht="15.6" x14ac:dyDescent="0.3"/>
    <row r="770" s="2" customFormat="1" ht="15.6" x14ac:dyDescent="0.3"/>
    <row r="771" s="2" customFormat="1" ht="15.6" x14ac:dyDescent="0.3"/>
    <row r="772" s="2" customFormat="1" ht="15.6" x14ac:dyDescent="0.3"/>
    <row r="773" s="2" customFormat="1" ht="15.6" x14ac:dyDescent="0.3"/>
    <row r="774" s="2" customFormat="1" ht="15.6" x14ac:dyDescent="0.3"/>
    <row r="775" s="2" customFormat="1" ht="15.6" x14ac:dyDescent="0.3"/>
    <row r="776" s="2" customFormat="1" ht="15.6" x14ac:dyDescent="0.3"/>
    <row r="777" s="2" customFormat="1" ht="15.6" x14ac:dyDescent="0.3"/>
    <row r="778" s="2" customFormat="1" ht="15.6" x14ac:dyDescent="0.3"/>
    <row r="779" s="2" customFormat="1" ht="15.6" x14ac:dyDescent="0.3"/>
    <row r="780" s="2" customFormat="1" ht="15.6" x14ac:dyDescent="0.3"/>
    <row r="781" s="2" customFormat="1" ht="15.6" x14ac:dyDescent="0.3"/>
    <row r="782" s="2" customFormat="1" ht="15.6" x14ac:dyDescent="0.3"/>
    <row r="783" s="2" customFormat="1" ht="15.6" x14ac:dyDescent="0.3"/>
    <row r="784" s="2" customFormat="1" ht="15.6" x14ac:dyDescent="0.3"/>
    <row r="785" s="2" customFormat="1" ht="15.6" x14ac:dyDescent="0.3"/>
    <row r="786" s="2" customFormat="1" ht="15.6" x14ac:dyDescent="0.3"/>
    <row r="787" s="2" customFormat="1" ht="15.6" x14ac:dyDescent="0.3"/>
    <row r="788" s="2" customFormat="1" ht="15.6" x14ac:dyDescent="0.3"/>
    <row r="789" s="2" customFormat="1" ht="15.6" x14ac:dyDescent="0.3"/>
    <row r="790" s="2" customFormat="1" ht="15.6" x14ac:dyDescent="0.3"/>
    <row r="791" s="2" customFormat="1" ht="15.6" x14ac:dyDescent="0.3"/>
    <row r="792" s="2" customFormat="1" ht="15.6" x14ac:dyDescent="0.3"/>
    <row r="793" s="2" customFormat="1" ht="15.6" x14ac:dyDescent="0.3"/>
    <row r="794" s="2" customFormat="1" ht="15.6" x14ac:dyDescent="0.3"/>
    <row r="795" s="2" customFormat="1" ht="15.6" x14ac:dyDescent="0.3"/>
    <row r="796" s="2" customFormat="1" ht="15.6" x14ac:dyDescent="0.3"/>
    <row r="797" s="2" customFormat="1" ht="15.6" x14ac:dyDescent="0.3"/>
    <row r="798" s="2" customFormat="1" ht="15.6" x14ac:dyDescent="0.3"/>
    <row r="799" s="2" customFormat="1" ht="15.6" x14ac:dyDescent="0.3"/>
    <row r="800" s="2" customFormat="1" ht="15.6" x14ac:dyDescent="0.3"/>
    <row r="801" s="2" customFormat="1" ht="15.6" x14ac:dyDescent="0.3"/>
    <row r="802" s="2" customFormat="1" ht="15.6" x14ac:dyDescent="0.3"/>
    <row r="803" s="2" customFormat="1" ht="15.6" x14ac:dyDescent="0.3"/>
    <row r="804" s="2" customFormat="1" ht="15.6" x14ac:dyDescent="0.3"/>
    <row r="805" s="2" customFormat="1" ht="15.6" x14ac:dyDescent="0.3"/>
    <row r="806" s="2" customFormat="1" ht="15.6" x14ac:dyDescent="0.3"/>
    <row r="807" s="2" customFormat="1" ht="15.6" x14ac:dyDescent="0.3"/>
    <row r="808" s="2" customFormat="1" ht="15.6" x14ac:dyDescent="0.3"/>
    <row r="809" s="2" customFormat="1" ht="15.6" x14ac:dyDescent="0.3"/>
    <row r="810" s="2" customFormat="1" ht="15.6" x14ac:dyDescent="0.3"/>
    <row r="811" s="2" customFormat="1" ht="15.6" x14ac:dyDescent="0.3"/>
    <row r="812" s="2" customFormat="1" ht="15.6" x14ac:dyDescent="0.3"/>
    <row r="813" s="2" customFormat="1" ht="15.6" x14ac:dyDescent="0.3"/>
    <row r="814" s="2" customFormat="1" ht="15.6" x14ac:dyDescent="0.3"/>
    <row r="815" s="2" customFormat="1" ht="15.6" x14ac:dyDescent="0.3"/>
    <row r="816" s="2" customFormat="1" ht="15.6" x14ac:dyDescent="0.3"/>
    <row r="817" s="2" customFormat="1" ht="15.6" x14ac:dyDescent="0.3"/>
    <row r="818" s="2" customFormat="1" ht="15.6" x14ac:dyDescent="0.3"/>
    <row r="819" s="2" customFormat="1" ht="15.6" x14ac:dyDescent="0.3"/>
    <row r="820" s="2" customFormat="1" ht="15.6" x14ac:dyDescent="0.3"/>
    <row r="821" s="2" customFormat="1" ht="15.6" x14ac:dyDescent="0.3"/>
    <row r="822" s="2" customFormat="1" ht="15.6" x14ac:dyDescent="0.3"/>
    <row r="823" s="2" customFormat="1" ht="15.6" x14ac:dyDescent="0.3"/>
    <row r="824" s="2" customFormat="1" ht="15.6" x14ac:dyDescent="0.3"/>
    <row r="825" s="2" customFormat="1" ht="15.6" x14ac:dyDescent="0.3"/>
    <row r="826" s="2" customFormat="1" ht="15.6" x14ac:dyDescent="0.3"/>
    <row r="827" s="2" customFormat="1" ht="15.6" x14ac:dyDescent="0.3"/>
    <row r="828" s="2" customFormat="1" ht="15.6" x14ac:dyDescent="0.3"/>
    <row r="829" s="2" customFormat="1" ht="15.6" x14ac:dyDescent="0.3"/>
    <row r="830" s="2" customFormat="1" ht="15.6" x14ac:dyDescent="0.3"/>
    <row r="831" s="2" customFormat="1" ht="15.6" x14ac:dyDescent="0.3"/>
    <row r="832" s="2" customFormat="1" ht="15.6" x14ac:dyDescent="0.3"/>
    <row r="833" s="2" customFormat="1" ht="15.6" x14ac:dyDescent="0.3"/>
    <row r="834" s="2" customFormat="1" ht="15.6" x14ac:dyDescent="0.3"/>
    <row r="835" s="2" customFormat="1" ht="15.6" x14ac:dyDescent="0.3"/>
    <row r="836" s="2" customFormat="1" ht="15.6" x14ac:dyDescent="0.3"/>
    <row r="837" s="2" customFormat="1" ht="15.6" x14ac:dyDescent="0.3"/>
    <row r="838" s="2" customFormat="1" ht="15.6" x14ac:dyDescent="0.3"/>
    <row r="839" s="2" customFormat="1" ht="15.6" x14ac:dyDescent="0.3"/>
    <row r="840" s="2" customFormat="1" ht="15.6" x14ac:dyDescent="0.3"/>
    <row r="841" s="2" customFormat="1" ht="15.6" x14ac:dyDescent="0.3"/>
    <row r="842" s="2" customFormat="1" ht="15.6" x14ac:dyDescent="0.3"/>
    <row r="843" s="2" customFormat="1" ht="15.6" x14ac:dyDescent="0.3"/>
    <row r="844" s="2" customFormat="1" ht="15.6" x14ac:dyDescent="0.3"/>
    <row r="845" s="2" customFormat="1" ht="15.6" x14ac:dyDescent="0.3"/>
    <row r="846" s="2" customFormat="1" ht="15.6" x14ac:dyDescent="0.3"/>
    <row r="847" s="2" customFormat="1" ht="15.6" x14ac:dyDescent="0.3"/>
    <row r="848" s="2" customFormat="1" ht="15.6" x14ac:dyDescent="0.3"/>
    <row r="849" s="2" customFormat="1" ht="15.6" x14ac:dyDescent="0.3"/>
    <row r="850" s="2" customFormat="1" ht="15.6" x14ac:dyDescent="0.3"/>
    <row r="851" s="2" customFormat="1" ht="15.6" x14ac:dyDescent="0.3"/>
    <row r="852" s="2" customFormat="1" ht="15.6" x14ac:dyDescent="0.3"/>
    <row r="853" s="2" customFormat="1" ht="15.6" x14ac:dyDescent="0.3"/>
    <row r="854" s="2" customFormat="1" ht="15.6" x14ac:dyDescent="0.3"/>
    <row r="855" s="2" customFormat="1" ht="15.6" x14ac:dyDescent="0.3"/>
    <row r="856" s="2" customFormat="1" ht="15.6" x14ac:dyDescent="0.3"/>
    <row r="857" s="2" customFormat="1" ht="15.6" x14ac:dyDescent="0.3"/>
    <row r="858" s="2" customFormat="1" ht="15.6" x14ac:dyDescent="0.3"/>
    <row r="859" s="2" customFormat="1" ht="15.6" x14ac:dyDescent="0.3"/>
    <row r="860" s="2" customFormat="1" ht="15.6" x14ac:dyDescent="0.3"/>
    <row r="861" s="2" customFormat="1" ht="15.6" x14ac:dyDescent="0.3"/>
    <row r="862" s="2" customFormat="1" ht="15.6" x14ac:dyDescent="0.3"/>
    <row r="863" s="2" customFormat="1" ht="15.6" x14ac:dyDescent="0.3"/>
    <row r="864" s="2" customFormat="1" ht="15.6" x14ac:dyDescent="0.3"/>
    <row r="865" s="2" customFormat="1" ht="15.6" x14ac:dyDescent="0.3"/>
    <row r="866" s="2" customFormat="1" ht="15.6" x14ac:dyDescent="0.3"/>
    <row r="867" s="2" customFormat="1" ht="15.6" x14ac:dyDescent="0.3"/>
    <row r="868" s="2" customFormat="1" ht="15.6" x14ac:dyDescent="0.3"/>
    <row r="869" s="2" customFormat="1" ht="15.6" x14ac:dyDescent="0.3"/>
    <row r="870" s="2" customFormat="1" ht="15.6" x14ac:dyDescent="0.3"/>
    <row r="871" s="2" customFormat="1" ht="15.6" x14ac:dyDescent="0.3"/>
    <row r="872" s="2" customFormat="1" ht="15.6" x14ac:dyDescent="0.3"/>
    <row r="873" s="2" customFormat="1" ht="15.6" x14ac:dyDescent="0.3"/>
    <row r="874" s="2" customFormat="1" ht="15.6" x14ac:dyDescent="0.3"/>
    <row r="875" s="2" customFormat="1" ht="15.6" x14ac:dyDescent="0.3"/>
    <row r="876" s="2" customFormat="1" ht="15.6" x14ac:dyDescent="0.3"/>
    <row r="877" s="2" customFormat="1" ht="15.6" x14ac:dyDescent="0.3"/>
    <row r="878" s="2" customFormat="1" ht="15.6" x14ac:dyDescent="0.3"/>
    <row r="879" s="2" customFormat="1" ht="15.6" x14ac:dyDescent="0.3"/>
    <row r="880" s="2" customFormat="1" ht="15.6" x14ac:dyDescent="0.3"/>
    <row r="881" s="2" customFormat="1" ht="15.6" x14ac:dyDescent="0.3"/>
    <row r="882" s="2" customFormat="1" ht="15.6" x14ac:dyDescent="0.3"/>
    <row r="883" s="2" customFormat="1" ht="15.6" x14ac:dyDescent="0.3"/>
    <row r="884" s="2" customFormat="1" ht="15.6" x14ac:dyDescent="0.3"/>
    <row r="885" s="2" customFormat="1" ht="15.6" x14ac:dyDescent="0.3"/>
    <row r="886" s="2" customFormat="1" ht="15.6" x14ac:dyDescent="0.3"/>
    <row r="887" s="2" customFormat="1" ht="15.6" x14ac:dyDescent="0.3"/>
    <row r="888" s="2" customFormat="1" ht="15.6" x14ac:dyDescent="0.3"/>
    <row r="889" s="2" customFormat="1" ht="15.6" x14ac:dyDescent="0.3"/>
    <row r="890" s="2" customFormat="1" ht="15.6" x14ac:dyDescent="0.3"/>
    <row r="891" s="2" customFormat="1" ht="15.6" x14ac:dyDescent="0.3"/>
    <row r="892" s="2" customFormat="1" ht="15.6" x14ac:dyDescent="0.3"/>
    <row r="893" s="2" customFormat="1" ht="15.6" x14ac:dyDescent="0.3"/>
    <row r="894" s="2" customFormat="1" ht="15.6" x14ac:dyDescent="0.3"/>
    <row r="895" s="2" customFormat="1" ht="15.6" x14ac:dyDescent="0.3"/>
    <row r="896" s="2" customFormat="1" ht="15.6" x14ac:dyDescent="0.3"/>
    <row r="897" s="2" customFormat="1" ht="15.6" x14ac:dyDescent="0.3"/>
    <row r="898" s="2" customFormat="1" ht="15.6" x14ac:dyDescent="0.3"/>
    <row r="899" s="2" customFormat="1" ht="15.6" x14ac:dyDescent="0.3"/>
    <row r="900" s="2" customFormat="1" ht="15.6" x14ac:dyDescent="0.3"/>
    <row r="901" s="2" customFormat="1" ht="15.6" x14ac:dyDescent="0.3"/>
    <row r="902" s="2" customFormat="1" ht="15.6" x14ac:dyDescent="0.3"/>
    <row r="903" s="2" customFormat="1" ht="15.6" x14ac:dyDescent="0.3"/>
    <row r="904" s="2" customFormat="1" ht="15.6" x14ac:dyDescent="0.3"/>
    <row r="905" s="2" customFormat="1" ht="15.6" x14ac:dyDescent="0.3"/>
    <row r="906" s="2" customFormat="1" ht="15.6" x14ac:dyDescent="0.3"/>
    <row r="907" s="2" customFormat="1" ht="15.6" x14ac:dyDescent="0.3"/>
    <row r="908" s="2" customFormat="1" ht="15.6" x14ac:dyDescent="0.3"/>
    <row r="909" s="2" customFormat="1" ht="15.6" x14ac:dyDescent="0.3"/>
    <row r="910" s="2" customFormat="1" ht="15.6" x14ac:dyDescent="0.3"/>
    <row r="911" s="2" customFormat="1" ht="15.6" x14ac:dyDescent="0.3"/>
    <row r="912" s="2" customFormat="1" ht="15.6" x14ac:dyDescent="0.3"/>
    <row r="913" s="2" customFormat="1" ht="15.6" x14ac:dyDescent="0.3"/>
    <row r="914" s="2" customFormat="1" ht="15.6" x14ac:dyDescent="0.3"/>
    <row r="915" s="2" customFormat="1" ht="15.6" x14ac:dyDescent="0.3"/>
    <row r="916" s="2" customFormat="1" ht="15.6" x14ac:dyDescent="0.3"/>
    <row r="917" s="2" customFormat="1" ht="15.6" x14ac:dyDescent="0.3"/>
    <row r="918" s="2" customFormat="1" ht="15.6" x14ac:dyDescent="0.3"/>
    <row r="919" s="2" customFormat="1" ht="15.6" x14ac:dyDescent="0.3"/>
    <row r="920" s="2" customFormat="1" ht="15.6" x14ac:dyDescent="0.3"/>
    <row r="921" s="2" customFormat="1" ht="15.6" x14ac:dyDescent="0.3"/>
    <row r="922" s="2" customFormat="1" ht="15.6" x14ac:dyDescent="0.3"/>
    <row r="923" s="2" customFormat="1" ht="15.6" x14ac:dyDescent="0.3"/>
    <row r="924" s="2" customFormat="1" ht="15.6" x14ac:dyDescent="0.3"/>
    <row r="925" s="2" customFormat="1" ht="15.6" x14ac:dyDescent="0.3"/>
    <row r="926" s="2" customFormat="1" ht="15.6" x14ac:dyDescent="0.3"/>
    <row r="927" s="2" customFormat="1" ht="15.6" x14ac:dyDescent="0.3"/>
    <row r="928" s="2" customFormat="1" ht="15.6" x14ac:dyDescent="0.3"/>
    <row r="929" s="2" customFormat="1" ht="15.6" x14ac:dyDescent="0.3"/>
    <row r="930" s="2" customFormat="1" ht="15.6" x14ac:dyDescent="0.3"/>
    <row r="931" s="2" customFormat="1" ht="15.6" x14ac:dyDescent="0.3"/>
    <row r="932" s="2" customFormat="1" ht="15.6" x14ac:dyDescent="0.3"/>
    <row r="933" s="2" customFormat="1" ht="15.6" x14ac:dyDescent="0.3"/>
    <row r="934" s="2" customFormat="1" ht="15.6" x14ac:dyDescent="0.3"/>
    <row r="935" s="2" customFormat="1" ht="15.6" x14ac:dyDescent="0.3"/>
    <row r="936" s="2" customFormat="1" ht="15.6" x14ac:dyDescent="0.3"/>
    <row r="937" s="2" customFormat="1" ht="15.6" x14ac:dyDescent="0.3"/>
    <row r="938" s="2" customFormat="1" ht="15.6" x14ac:dyDescent="0.3"/>
    <row r="939" s="2" customFormat="1" ht="15.6" x14ac:dyDescent="0.3"/>
    <row r="940" s="2" customFormat="1" ht="15.6" x14ac:dyDescent="0.3"/>
    <row r="941" s="2" customFormat="1" ht="15.6" x14ac:dyDescent="0.3"/>
    <row r="942" s="2" customFormat="1" ht="15.6" x14ac:dyDescent="0.3"/>
    <row r="943" s="2" customFormat="1" ht="15.6" x14ac:dyDescent="0.3"/>
    <row r="944" s="2" customFormat="1" ht="15.6" x14ac:dyDescent="0.3"/>
    <row r="945" s="2" customFormat="1" ht="15.6" x14ac:dyDescent="0.3"/>
    <row r="946" s="2" customFormat="1" ht="15.6" x14ac:dyDescent="0.3"/>
    <row r="947" s="2" customFormat="1" ht="15.6" x14ac:dyDescent="0.3"/>
    <row r="948" s="2" customFormat="1" ht="15.6" x14ac:dyDescent="0.3"/>
    <row r="949" s="2" customFormat="1" ht="15.6" x14ac:dyDescent="0.3"/>
    <row r="950" s="2" customFormat="1" ht="15.6" x14ac:dyDescent="0.3"/>
    <row r="951" s="2" customFormat="1" ht="15.6" x14ac:dyDescent="0.3"/>
    <row r="952" s="2" customFormat="1" ht="15.6" x14ac:dyDescent="0.3"/>
    <row r="953" s="2" customFormat="1" ht="15.6" x14ac:dyDescent="0.3"/>
    <row r="954" s="2" customFormat="1" ht="15.6" x14ac:dyDescent="0.3"/>
    <row r="955" s="2" customFormat="1" ht="15.6" x14ac:dyDescent="0.3"/>
    <row r="956" s="2" customFormat="1" ht="15.6" x14ac:dyDescent="0.3"/>
    <row r="957" s="2" customFormat="1" ht="15.6" x14ac:dyDescent="0.3"/>
    <row r="958" s="2" customFormat="1" ht="15.6" x14ac:dyDescent="0.3"/>
    <row r="959" s="2" customFormat="1" ht="15.6" x14ac:dyDescent="0.3"/>
    <row r="960" s="2" customFormat="1" ht="15.6" x14ac:dyDescent="0.3"/>
    <row r="961" s="2" customFormat="1" ht="15.6" x14ac:dyDescent="0.3"/>
    <row r="962" s="2" customFormat="1" ht="15.6" x14ac:dyDescent="0.3"/>
    <row r="963" s="2" customFormat="1" ht="15.6" x14ac:dyDescent="0.3"/>
    <row r="964" s="2" customFormat="1" ht="15.6" x14ac:dyDescent="0.3"/>
    <row r="965" s="2" customFormat="1" ht="15.6" x14ac:dyDescent="0.3"/>
    <row r="966" s="2" customFormat="1" ht="15.6" x14ac:dyDescent="0.3"/>
    <row r="967" s="2" customFormat="1" ht="15.6" x14ac:dyDescent="0.3"/>
    <row r="968" s="2" customFormat="1" ht="15.6" x14ac:dyDescent="0.3"/>
    <row r="969" s="2" customFormat="1" ht="15.6" x14ac:dyDescent="0.3"/>
    <row r="970" s="2" customFormat="1" ht="15.6" x14ac:dyDescent="0.3"/>
    <row r="971" s="2" customFormat="1" ht="15.6" x14ac:dyDescent="0.3"/>
    <row r="972" s="2" customFormat="1" ht="15.6" x14ac:dyDescent="0.3"/>
    <row r="973" s="2" customFormat="1" ht="15.6" x14ac:dyDescent="0.3"/>
    <row r="974" s="2" customFormat="1" ht="15.6" x14ac:dyDescent="0.3"/>
    <row r="975" s="2" customFormat="1" ht="15.6" x14ac:dyDescent="0.3"/>
    <row r="976" s="2" customFormat="1" ht="15.6" x14ac:dyDescent="0.3"/>
    <row r="977" s="2" customFormat="1" ht="15.6" x14ac:dyDescent="0.3"/>
    <row r="978" s="2" customFormat="1" ht="15.6" x14ac:dyDescent="0.3"/>
    <row r="979" s="2" customFormat="1" ht="15.6" x14ac:dyDescent="0.3"/>
    <row r="980" s="2" customFormat="1" ht="15.6" x14ac:dyDescent="0.3"/>
    <row r="981" s="2" customFormat="1" ht="15.6" x14ac:dyDescent="0.3"/>
    <row r="982" s="2" customFormat="1" ht="15.6" x14ac:dyDescent="0.3"/>
    <row r="983" s="2" customFormat="1" ht="15.6" x14ac:dyDescent="0.3"/>
    <row r="984" s="2" customFormat="1" ht="15.6" x14ac:dyDescent="0.3"/>
    <row r="985" s="2" customFormat="1" ht="15.6" x14ac:dyDescent="0.3"/>
    <row r="986" s="2" customFormat="1" ht="15.6" x14ac:dyDescent="0.3"/>
    <row r="987" s="2" customFormat="1" ht="15.6" x14ac:dyDescent="0.3"/>
    <row r="988" s="2" customFormat="1" ht="15.6" x14ac:dyDescent="0.3"/>
    <row r="989" s="2" customFormat="1" ht="15.6" x14ac:dyDescent="0.3"/>
    <row r="990" s="2" customFormat="1" ht="15.6" x14ac:dyDescent="0.3"/>
    <row r="991" s="2" customFormat="1" ht="15.6" x14ac:dyDescent="0.3"/>
    <row r="992" s="2" customFormat="1" ht="15.6" x14ac:dyDescent="0.3"/>
    <row r="993" s="2" customFormat="1" ht="15.6" x14ac:dyDescent="0.3"/>
    <row r="994" s="2" customFormat="1" ht="15.6" x14ac:dyDescent="0.3"/>
    <row r="995" s="2" customFormat="1" ht="15.6" x14ac:dyDescent="0.3"/>
    <row r="996" s="2" customFormat="1" ht="15.6" x14ac:dyDescent="0.3"/>
    <row r="997" s="2" customFormat="1" ht="15.6" x14ac:dyDescent="0.3"/>
    <row r="998" s="2" customFormat="1" ht="15.6" x14ac:dyDescent="0.3"/>
    <row r="999" s="2" customFormat="1" ht="15.6" x14ac:dyDescent="0.3"/>
    <row r="1000" s="2" customFormat="1" ht="15.6" x14ac:dyDescent="0.3"/>
  </sheetData>
  <conditionalFormatting sqref="H1:L1048576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M1000"/>
  <sheetViews>
    <sheetView showGridLines="0" tabSelected="1" zoomScale="90" zoomScaleNormal="9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N17" sqref="N17"/>
    </sheetView>
  </sheetViews>
  <sheetFormatPr defaultColWidth="14.44140625" defaultRowHeight="15" customHeight="1" x14ac:dyDescent="0.3"/>
  <cols>
    <col min="1" max="2" width="4" style="2" customWidth="1"/>
    <col min="3" max="3" width="3.88671875" style="2" customWidth="1"/>
    <col min="4" max="4" width="36.44140625" style="2" bestFit="1" customWidth="1"/>
    <col min="5" max="5" width="14.44140625" style="4"/>
    <col min="6" max="8" width="14.44140625" style="2"/>
    <col min="9" max="12" width="15.6640625" style="2" bestFit="1" customWidth="1"/>
    <col min="13" max="16384" width="14.44140625" style="2"/>
  </cols>
  <sheetData>
    <row r="1" spans="2:13" ht="15.6" x14ac:dyDescent="0.3"/>
    <row r="2" spans="2:13" ht="32.4" customHeight="1" x14ac:dyDescent="0.6">
      <c r="B2" s="25" t="str">
        <f>CompanyName</f>
        <v>Cronyx Mining Ltd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2:13" ht="20.399999999999999" x14ac:dyDescent="0.35">
      <c r="C3" s="28" t="s">
        <v>147</v>
      </c>
    </row>
    <row r="4" spans="2:13" ht="15.6" x14ac:dyDescent="0.3">
      <c r="D4" s="7"/>
      <c r="F4" s="7"/>
      <c r="G4" s="7"/>
      <c r="H4" s="7"/>
      <c r="I4" s="7"/>
      <c r="J4" s="7"/>
      <c r="K4" s="7"/>
      <c r="L4" s="7"/>
    </row>
    <row r="5" spans="2:13" ht="15.6" x14ac:dyDescent="0.3">
      <c r="C5" s="7"/>
      <c r="D5" s="7"/>
      <c r="F5" s="7"/>
      <c r="G5" s="7" t="s">
        <v>6</v>
      </c>
      <c r="H5" s="7"/>
      <c r="I5" s="19">
        <f t="shared" ref="I5:L5" si="0">H6+1</f>
        <v>46023</v>
      </c>
      <c r="J5" s="19">
        <f t="shared" si="0"/>
        <v>46388</v>
      </c>
      <c r="K5" s="19">
        <f t="shared" si="0"/>
        <v>46753</v>
      </c>
      <c r="L5" s="19">
        <f t="shared" si="0"/>
        <v>47119</v>
      </c>
    </row>
    <row r="6" spans="2:13" ht="15.6" x14ac:dyDescent="0.3">
      <c r="C6" s="7"/>
      <c r="D6" s="7"/>
      <c r="F6" s="7"/>
      <c r="G6" s="7" t="s">
        <v>7</v>
      </c>
      <c r="H6" s="19">
        <f>Guide!E30-1</f>
        <v>46022</v>
      </c>
      <c r="I6" s="19">
        <f t="shared" ref="I6:L6" si="1">EDATE(H6,12)</f>
        <v>46387</v>
      </c>
      <c r="J6" s="19">
        <f t="shared" si="1"/>
        <v>46752</v>
      </c>
      <c r="K6" s="19">
        <f t="shared" si="1"/>
        <v>47118</v>
      </c>
      <c r="L6" s="19">
        <f t="shared" si="1"/>
        <v>47483</v>
      </c>
    </row>
    <row r="7" spans="2:13" ht="15.6" x14ac:dyDescent="0.3">
      <c r="I7" s="9">
        <f t="shared" ref="I7:L7" si="2">YEAR(I6)</f>
        <v>2026</v>
      </c>
      <c r="J7" s="9">
        <f t="shared" si="2"/>
        <v>2027</v>
      </c>
      <c r="K7" s="9">
        <f t="shared" si="2"/>
        <v>2028</v>
      </c>
      <c r="L7" s="9">
        <f t="shared" si="2"/>
        <v>2029</v>
      </c>
    </row>
    <row r="8" spans="2:13" s="21" customFormat="1" ht="14.4" x14ac:dyDescent="0.3">
      <c r="D8" s="21" t="s">
        <v>2</v>
      </c>
      <c r="E8" s="22" t="s">
        <v>181</v>
      </c>
      <c r="H8" s="21" t="s">
        <v>3</v>
      </c>
      <c r="I8" s="23" t="s">
        <v>5</v>
      </c>
      <c r="J8" s="23" t="s">
        <v>5</v>
      </c>
      <c r="K8" s="23" t="s">
        <v>5</v>
      </c>
      <c r="L8" s="23" t="s">
        <v>5</v>
      </c>
    </row>
    <row r="9" spans="2:13" ht="15.6" x14ac:dyDescent="0.3">
      <c r="D9" s="29" t="s">
        <v>148</v>
      </c>
    </row>
    <row r="10" spans="2:13" ht="16.2" thickBot="1" x14ac:dyDescent="0.35">
      <c r="D10" s="2" t="s">
        <v>149</v>
      </c>
      <c r="E10" s="4">
        <v>5</v>
      </c>
      <c r="I10" s="11">
        <f>Input!I113</f>
        <v>852000000</v>
      </c>
      <c r="J10" s="11">
        <f>Input!J113</f>
        <v>639000000</v>
      </c>
      <c r="K10" s="11">
        <f>Input!K113</f>
        <v>426000000</v>
      </c>
      <c r="L10" s="11">
        <f>Input!L113</f>
        <v>213000000</v>
      </c>
    </row>
    <row r="11" spans="2:13" ht="15.6" x14ac:dyDescent="0.3">
      <c r="C11" s="7"/>
      <c r="D11" s="26" t="s">
        <v>150</v>
      </c>
      <c r="E11" s="32"/>
      <c r="F11" s="26"/>
      <c r="G11" s="26"/>
      <c r="H11" s="26"/>
      <c r="I11" s="26">
        <f t="shared" ref="I11:L11" si="3">SUM(I10)</f>
        <v>852000000</v>
      </c>
      <c r="J11" s="26">
        <f t="shared" si="3"/>
        <v>639000000</v>
      </c>
      <c r="K11" s="26">
        <f t="shared" si="3"/>
        <v>426000000</v>
      </c>
      <c r="L11" s="26">
        <f t="shared" si="3"/>
        <v>213000000</v>
      </c>
    </row>
    <row r="12" spans="2:13" ht="15.6" x14ac:dyDescent="0.3"/>
    <row r="13" spans="2:13" ht="15.6" x14ac:dyDescent="0.3">
      <c r="D13" s="29" t="s">
        <v>151</v>
      </c>
    </row>
    <row r="14" spans="2:13" ht="15.6" x14ac:dyDescent="0.3">
      <c r="D14" s="2" t="s">
        <v>152</v>
      </c>
      <c r="H14" s="11">
        <f>CFS!H40</f>
        <v>45529126</v>
      </c>
      <c r="I14" s="11">
        <f>CFS!I40</f>
        <v>389027448.37614822</v>
      </c>
      <c r="J14" s="11">
        <f>CFS!J40</f>
        <v>735051831.69521403</v>
      </c>
      <c r="K14" s="11">
        <f>CFS!K40</f>
        <v>1253123293.5105519</v>
      </c>
      <c r="L14" s="11">
        <f>CFS!L40</f>
        <v>1941185121.7697675</v>
      </c>
    </row>
    <row r="15" spans="2:13" ht="15.6" x14ac:dyDescent="0.3">
      <c r="D15" s="2" t="s">
        <v>113</v>
      </c>
      <c r="E15" s="4">
        <v>9</v>
      </c>
      <c r="I15" s="11">
        <f>Input!I132</f>
        <v>59292602.739726022</v>
      </c>
      <c r="J15" s="11">
        <f>Input!J132</f>
        <v>159115068.49315068</v>
      </c>
      <c r="K15" s="11">
        <f>Input!K132</f>
        <v>198893835.61643836</v>
      </c>
      <c r="L15" s="11">
        <f>Input!L132</f>
        <v>248617294.52054793</v>
      </c>
    </row>
    <row r="16" spans="2:13" ht="16.2" thickBot="1" x14ac:dyDescent="0.35">
      <c r="D16" s="2" t="s">
        <v>114</v>
      </c>
      <c r="E16" s="4">
        <v>9</v>
      </c>
      <c r="I16" s="11">
        <f>Input!I133</f>
        <v>212153424.65753424</v>
      </c>
      <c r="J16" s="11">
        <f>Input!J133</f>
        <v>265191780.8219178</v>
      </c>
      <c r="K16" s="11">
        <f>Input!K133</f>
        <v>331489726.02739722</v>
      </c>
      <c r="L16" s="11">
        <f>Input!L133</f>
        <v>414362157.53424656</v>
      </c>
    </row>
    <row r="17" spans="4:12" ht="15.6" x14ac:dyDescent="0.3">
      <c r="D17" s="26" t="s">
        <v>153</v>
      </c>
      <c r="E17" s="32"/>
      <c r="F17" s="26"/>
      <c r="G17" s="26"/>
      <c r="H17" s="26"/>
      <c r="I17" s="26">
        <f t="shared" ref="I17:L17" si="4">SUM(I14:I16)</f>
        <v>660473475.77340841</v>
      </c>
      <c r="J17" s="26">
        <f t="shared" si="4"/>
        <v>1159358681.0102825</v>
      </c>
      <c r="K17" s="26">
        <f t="shared" si="4"/>
        <v>1783506855.1543875</v>
      </c>
      <c r="L17" s="26">
        <f t="shared" si="4"/>
        <v>2604164573.8245621</v>
      </c>
    </row>
    <row r="18" spans="4:12" ht="15.6" x14ac:dyDescent="0.3"/>
    <row r="19" spans="4:12" ht="16.2" thickBot="1" x14ac:dyDescent="0.35">
      <c r="D19" s="30" t="s">
        <v>154</v>
      </c>
      <c r="E19" s="33"/>
      <c r="F19" s="30"/>
      <c r="G19" s="30"/>
      <c r="H19" s="30">
        <f>H14</f>
        <v>45529126</v>
      </c>
      <c r="I19" s="30">
        <f t="shared" ref="I19:L19" si="5">SUM(I11,I17)</f>
        <v>1512473475.7734084</v>
      </c>
      <c r="J19" s="30">
        <f t="shared" si="5"/>
        <v>1798358681.0102825</v>
      </c>
      <c r="K19" s="30">
        <f t="shared" si="5"/>
        <v>2209506855.1543875</v>
      </c>
      <c r="L19" s="30">
        <f t="shared" si="5"/>
        <v>2817164573.8245621</v>
      </c>
    </row>
    <row r="20" spans="4:12" ht="16.2" thickTop="1" x14ac:dyDescent="0.3"/>
    <row r="21" spans="4:12" ht="15.6" x14ac:dyDescent="0.3"/>
    <row r="22" spans="4:12" ht="15.6" x14ac:dyDescent="0.3">
      <c r="D22" s="29" t="s">
        <v>155</v>
      </c>
    </row>
    <row r="23" spans="4:12" ht="16.2" thickBot="1" x14ac:dyDescent="0.35">
      <c r="D23" s="2" t="s">
        <v>156</v>
      </c>
      <c r="E23" s="4">
        <v>11</v>
      </c>
      <c r="I23" s="11">
        <f>Input!I154</f>
        <v>844998176.40354538</v>
      </c>
      <c r="J23" s="11">
        <f>Input!J154</f>
        <v>638845751.02026081</v>
      </c>
      <c r="K23" s="11">
        <f>Input!K154</f>
        <v>364663025.26049232</v>
      </c>
      <c r="L23" s="2">
        <f>Input!L154</f>
        <v>0</v>
      </c>
    </row>
    <row r="24" spans="4:12" ht="15.6" x14ac:dyDescent="0.3">
      <c r="D24" s="26" t="s">
        <v>157</v>
      </c>
      <c r="E24" s="32"/>
      <c r="F24" s="26"/>
      <c r="G24" s="26"/>
      <c r="H24" s="26"/>
      <c r="I24" s="26">
        <f t="shared" ref="I24:L24" si="6">SUM(I23)</f>
        <v>844998176.40354538</v>
      </c>
      <c r="J24" s="26">
        <f t="shared" si="6"/>
        <v>638845751.02026081</v>
      </c>
      <c r="K24" s="26">
        <f t="shared" si="6"/>
        <v>364663025.26049232</v>
      </c>
      <c r="L24" s="26">
        <f t="shared" si="6"/>
        <v>0</v>
      </c>
    </row>
    <row r="25" spans="4:12" ht="15.6" x14ac:dyDescent="0.3"/>
    <row r="26" spans="4:12" ht="15.6" x14ac:dyDescent="0.3">
      <c r="D26" s="29" t="s">
        <v>158</v>
      </c>
    </row>
    <row r="27" spans="4:12" ht="16.2" thickBot="1" x14ac:dyDescent="0.35">
      <c r="D27" s="2" t="s">
        <v>116</v>
      </c>
      <c r="E27" s="4">
        <v>9</v>
      </c>
      <c r="I27" s="11">
        <f>Input!I135</f>
        <v>29646301.369863011</v>
      </c>
      <c r="J27" s="11">
        <f>Input!J135</f>
        <v>79557534.246575341</v>
      </c>
      <c r="K27" s="11">
        <f>Input!K135</f>
        <v>99446917.80821918</v>
      </c>
      <c r="L27" s="11">
        <f>Input!L135</f>
        <v>124308647.26027396</v>
      </c>
    </row>
    <row r="28" spans="4:12" ht="15.6" x14ac:dyDescent="0.3">
      <c r="D28" s="26" t="s">
        <v>159</v>
      </c>
      <c r="E28" s="32"/>
      <c r="F28" s="26"/>
      <c r="G28" s="26"/>
      <c r="H28" s="26"/>
      <c r="I28" s="26">
        <f t="shared" ref="I28:L28" si="7">SUM(I27)</f>
        <v>29646301.369863011</v>
      </c>
      <c r="J28" s="26">
        <f t="shared" si="7"/>
        <v>79557534.246575341</v>
      </c>
      <c r="K28" s="26">
        <f t="shared" si="7"/>
        <v>99446917.80821918</v>
      </c>
      <c r="L28" s="26">
        <f t="shared" si="7"/>
        <v>124308647.26027396</v>
      </c>
    </row>
    <row r="29" spans="4:12" ht="15.6" x14ac:dyDescent="0.3"/>
    <row r="30" spans="4:12" ht="16.2" thickBot="1" x14ac:dyDescent="0.35">
      <c r="D30" s="30" t="s">
        <v>160</v>
      </c>
      <c r="E30" s="33"/>
      <c r="F30" s="30"/>
      <c r="G30" s="30"/>
      <c r="H30" s="30"/>
      <c r="I30" s="30">
        <f t="shared" ref="I30:L30" si="8">SUM(I24,I28)</f>
        <v>874644477.77340841</v>
      </c>
      <c r="J30" s="30">
        <f t="shared" si="8"/>
        <v>718403285.26683617</v>
      </c>
      <c r="K30" s="30">
        <f t="shared" si="8"/>
        <v>464109943.06871152</v>
      </c>
      <c r="L30" s="30">
        <f t="shared" si="8"/>
        <v>124308647.26027396</v>
      </c>
    </row>
    <row r="31" spans="4:12" ht="16.2" thickTop="1" x14ac:dyDescent="0.3"/>
    <row r="32" spans="4:12" ht="15.6" x14ac:dyDescent="0.3">
      <c r="D32" s="29" t="s">
        <v>119</v>
      </c>
    </row>
    <row r="33" spans="4:12" ht="15.6" x14ac:dyDescent="0.3">
      <c r="D33" s="2" t="s">
        <v>161</v>
      </c>
      <c r="E33" s="4">
        <v>11</v>
      </c>
      <c r="I33" s="11">
        <f>Input!$E$139</f>
        <v>65000000</v>
      </c>
      <c r="J33" s="11">
        <f>Input!$E$139</f>
        <v>65000000</v>
      </c>
      <c r="K33" s="11">
        <f>Input!$E$139</f>
        <v>65000000</v>
      </c>
      <c r="L33" s="11">
        <f>Input!$E$139</f>
        <v>65000000</v>
      </c>
    </row>
    <row r="34" spans="4:12" ht="16.2" thickBot="1" x14ac:dyDescent="0.35">
      <c r="D34" s="2" t="s">
        <v>144</v>
      </c>
      <c r="H34" s="17">
        <f>IS!H32</f>
        <v>45529126</v>
      </c>
      <c r="I34" s="17">
        <f>IS!I32</f>
        <v>572828998</v>
      </c>
      <c r="J34" s="17">
        <f>IS!J32</f>
        <v>1014955395.7434464</v>
      </c>
      <c r="K34" s="17">
        <f>IS!K32</f>
        <v>1680396912.0856762</v>
      </c>
      <c r="L34" s="17">
        <f>IS!L32</f>
        <v>2627855926.5642881</v>
      </c>
    </row>
    <row r="35" spans="4:12" ht="15.6" x14ac:dyDescent="0.3">
      <c r="D35" s="26" t="s">
        <v>162</v>
      </c>
      <c r="E35" s="32"/>
      <c r="F35" s="26"/>
      <c r="G35" s="26"/>
      <c r="H35" s="26">
        <f t="shared" ref="H35:L35" si="9">SUM(H33:H34)</f>
        <v>45529126</v>
      </c>
      <c r="I35" s="26">
        <f t="shared" si="9"/>
        <v>637828998</v>
      </c>
      <c r="J35" s="26">
        <f t="shared" si="9"/>
        <v>1079955395.7434464</v>
      </c>
      <c r="K35" s="26">
        <f t="shared" si="9"/>
        <v>1745396912.0856762</v>
      </c>
      <c r="L35" s="26">
        <f t="shared" si="9"/>
        <v>2692855926.5642881</v>
      </c>
    </row>
    <row r="36" spans="4:12" ht="15.6" x14ac:dyDescent="0.3"/>
    <row r="37" spans="4:12" ht="16.2" thickBot="1" x14ac:dyDescent="0.35">
      <c r="D37" s="30" t="s">
        <v>163</v>
      </c>
      <c r="E37" s="33"/>
      <c r="F37" s="30"/>
      <c r="G37" s="30"/>
      <c r="H37" s="30">
        <f t="shared" ref="H37:L37" si="10">SUM(H30,H35)</f>
        <v>45529126</v>
      </c>
      <c r="I37" s="30">
        <f t="shared" si="10"/>
        <v>1512473475.7734084</v>
      </c>
      <c r="J37" s="30">
        <f t="shared" si="10"/>
        <v>1798358681.0102825</v>
      </c>
      <c r="K37" s="30">
        <f t="shared" si="10"/>
        <v>2209506855.1543875</v>
      </c>
      <c r="L37" s="30">
        <f t="shared" si="10"/>
        <v>2817164573.8245621</v>
      </c>
    </row>
    <row r="38" spans="4:12" ht="16.2" thickTop="1" x14ac:dyDescent="0.3"/>
    <row r="39" spans="4:12" ht="15.6" x14ac:dyDescent="0.3">
      <c r="D39" s="2" t="s">
        <v>164</v>
      </c>
      <c r="I39" s="2" t="b">
        <f t="shared" ref="I39:L39" si="11">I19=I37</f>
        <v>1</v>
      </c>
      <c r="J39" s="2" t="b">
        <f t="shared" si="11"/>
        <v>1</v>
      </c>
      <c r="K39" s="2" t="b">
        <f t="shared" si="11"/>
        <v>1</v>
      </c>
      <c r="L39" s="2" t="b">
        <f t="shared" si="11"/>
        <v>1</v>
      </c>
    </row>
    <row r="40" spans="4:12" ht="15.6" x14ac:dyDescent="0.3">
      <c r="D40" s="2" t="s">
        <v>165</v>
      </c>
      <c r="I40" s="11">
        <f t="shared" ref="I40:L40" si="12">I37-I19</f>
        <v>0</v>
      </c>
      <c r="J40" s="11">
        <f t="shared" si="12"/>
        <v>0</v>
      </c>
      <c r="K40" s="11">
        <f t="shared" si="12"/>
        <v>0</v>
      </c>
      <c r="L40" s="11">
        <f t="shared" si="12"/>
        <v>0</v>
      </c>
    </row>
    <row r="41" spans="4:12" ht="15.6" x14ac:dyDescent="0.3"/>
    <row r="42" spans="4:12" ht="15.6" x14ac:dyDescent="0.3"/>
    <row r="43" spans="4:12" ht="15.6" x14ac:dyDescent="0.3"/>
    <row r="44" spans="4:12" ht="15.6" x14ac:dyDescent="0.3"/>
    <row r="45" spans="4:12" ht="15.6" x14ac:dyDescent="0.3"/>
    <row r="46" spans="4:12" ht="15.6" x14ac:dyDescent="0.3"/>
    <row r="47" spans="4:12" ht="15.6" x14ac:dyDescent="0.3"/>
    <row r="48" spans="4:12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  <row r="55" ht="15.6" x14ac:dyDescent="0.3"/>
    <row r="56" ht="15.6" x14ac:dyDescent="0.3"/>
    <row r="57" ht="15.6" x14ac:dyDescent="0.3"/>
    <row r="58" ht="15.6" x14ac:dyDescent="0.3"/>
    <row r="59" ht="15.6" x14ac:dyDescent="0.3"/>
    <row r="60" ht="15.6" x14ac:dyDescent="0.3"/>
    <row r="61" ht="15.6" x14ac:dyDescent="0.3"/>
    <row r="62" ht="15.6" x14ac:dyDescent="0.3"/>
    <row r="63" ht="15.6" x14ac:dyDescent="0.3"/>
    <row r="64" ht="15.6" x14ac:dyDescent="0.3"/>
    <row r="65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2" ht="15.6" x14ac:dyDescent="0.3"/>
    <row r="73" ht="15.6" x14ac:dyDescent="0.3"/>
    <row r="74" ht="15.6" x14ac:dyDescent="0.3"/>
    <row r="75" ht="15.6" x14ac:dyDescent="0.3"/>
    <row r="76" ht="15.6" x14ac:dyDescent="0.3"/>
    <row r="77" ht="15.6" x14ac:dyDescent="0.3"/>
    <row r="78" ht="15.6" x14ac:dyDescent="0.3"/>
    <row r="79" ht="15.6" x14ac:dyDescent="0.3"/>
    <row r="80" ht="15.6" x14ac:dyDescent="0.3"/>
    <row r="81" ht="15.6" x14ac:dyDescent="0.3"/>
    <row r="82" ht="15.6" x14ac:dyDescent="0.3"/>
    <row r="83" ht="15.6" x14ac:dyDescent="0.3"/>
    <row r="84" ht="15.6" x14ac:dyDescent="0.3"/>
    <row r="85" ht="15.6" x14ac:dyDescent="0.3"/>
    <row r="86" ht="15.6" x14ac:dyDescent="0.3"/>
    <row r="87" ht="15.6" x14ac:dyDescent="0.3"/>
    <row r="88" ht="15.6" x14ac:dyDescent="0.3"/>
    <row r="89" ht="15.6" x14ac:dyDescent="0.3"/>
    <row r="90" ht="15.6" x14ac:dyDescent="0.3"/>
    <row r="91" ht="15.6" x14ac:dyDescent="0.3"/>
    <row r="92" ht="15.6" x14ac:dyDescent="0.3"/>
    <row r="93" ht="15.6" x14ac:dyDescent="0.3"/>
    <row r="94" ht="15.6" x14ac:dyDescent="0.3"/>
    <row r="95" ht="15.6" x14ac:dyDescent="0.3"/>
    <row r="96" ht="15.6" x14ac:dyDescent="0.3"/>
    <row r="97" ht="15.6" x14ac:dyDescent="0.3"/>
    <row r="98" ht="15.6" x14ac:dyDescent="0.3"/>
    <row r="99" ht="15.6" x14ac:dyDescent="0.3"/>
    <row r="100" ht="15.6" x14ac:dyDescent="0.3"/>
    <row r="101" ht="15.6" x14ac:dyDescent="0.3"/>
    <row r="102" ht="15.6" x14ac:dyDescent="0.3"/>
    <row r="103" ht="15.6" x14ac:dyDescent="0.3"/>
    <row r="104" ht="15.6" x14ac:dyDescent="0.3"/>
    <row r="105" ht="15.6" x14ac:dyDescent="0.3"/>
    <row r="106" ht="15.6" x14ac:dyDescent="0.3"/>
    <row r="107" ht="15.6" x14ac:dyDescent="0.3"/>
    <row r="108" ht="15.6" x14ac:dyDescent="0.3"/>
    <row r="109" ht="15.6" x14ac:dyDescent="0.3"/>
    <row r="110" ht="15.6" x14ac:dyDescent="0.3"/>
    <row r="111" ht="15.6" x14ac:dyDescent="0.3"/>
    <row r="112" ht="15.6" x14ac:dyDescent="0.3"/>
    <row r="113" ht="15.6" x14ac:dyDescent="0.3"/>
    <row r="114" ht="15.6" x14ac:dyDescent="0.3"/>
    <row r="115" ht="15.6" x14ac:dyDescent="0.3"/>
    <row r="116" ht="15.6" x14ac:dyDescent="0.3"/>
    <row r="117" ht="15.6" x14ac:dyDescent="0.3"/>
    <row r="118" ht="15.6" x14ac:dyDescent="0.3"/>
    <row r="119" ht="15.6" x14ac:dyDescent="0.3"/>
    <row r="120" ht="15.6" x14ac:dyDescent="0.3"/>
    <row r="121" ht="15.6" x14ac:dyDescent="0.3"/>
    <row r="122" ht="15.6" x14ac:dyDescent="0.3"/>
    <row r="123" ht="15.6" x14ac:dyDescent="0.3"/>
    <row r="124" ht="15.6" x14ac:dyDescent="0.3"/>
    <row r="125" ht="15.6" x14ac:dyDescent="0.3"/>
    <row r="126" ht="15.6" x14ac:dyDescent="0.3"/>
    <row r="127" ht="15.6" x14ac:dyDescent="0.3"/>
    <row r="128" ht="15.6" x14ac:dyDescent="0.3"/>
    <row r="129" ht="15.6" x14ac:dyDescent="0.3"/>
    <row r="130" ht="15.6" x14ac:dyDescent="0.3"/>
    <row r="131" ht="15.6" x14ac:dyDescent="0.3"/>
    <row r="132" ht="15.6" x14ac:dyDescent="0.3"/>
    <row r="133" ht="15.6" x14ac:dyDescent="0.3"/>
    <row r="134" ht="15.6" x14ac:dyDescent="0.3"/>
    <row r="135" ht="15.6" x14ac:dyDescent="0.3"/>
    <row r="136" ht="15.6" x14ac:dyDescent="0.3"/>
    <row r="137" ht="15.6" x14ac:dyDescent="0.3"/>
    <row r="138" ht="15.6" x14ac:dyDescent="0.3"/>
    <row r="139" ht="15.6" x14ac:dyDescent="0.3"/>
    <row r="140" ht="15.6" x14ac:dyDescent="0.3"/>
    <row r="141" ht="15.6" x14ac:dyDescent="0.3"/>
    <row r="142" ht="15.6" x14ac:dyDescent="0.3"/>
    <row r="143" ht="15.6" x14ac:dyDescent="0.3"/>
    <row r="144" ht="15.6" x14ac:dyDescent="0.3"/>
    <row r="145" ht="15.6" x14ac:dyDescent="0.3"/>
    <row r="146" ht="15.6" x14ac:dyDescent="0.3"/>
    <row r="147" ht="15.6" x14ac:dyDescent="0.3"/>
    <row r="148" ht="15.6" x14ac:dyDescent="0.3"/>
    <row r="149" ht="15.6" x14ac:dyDescent="0.3"/>
    <row r="150" ht="15.6" x14ac:dyDescent="0.3"/>
    <row r="151" ht="15.6" x14ac:dyDescent="0.3"/>
    <row r="152" ht="15.6" x14ac:dyDescent="0.3"/>
    <row r="153" ht="15.6" x14ac:dyDescent="0.3"/>
    <row r="154" ht="15.6" x14ac:dyDescent="0.3"/>
    <row r="155" ht="15.6" x14ac:dyDescent="0.3"/>
    <row r="156" ht="15.6" x14ac:dyDescent="0.3"/>
    <row r="157" ht="15.6" x14ac:dyDescent="0.3"/>
    <row r="158" ht="15.6" x14ac:dyDescent="0.3"/>
    <row r="159" ht="15.6" x14ac:dyDescent="0.3"/>
    <row r="160" ht="15.6" x14ac:dyDescent="0.3"/>
    <row r="161" ht="15.6" x14ac:dyDescent="0.3"/>
    <row r="162" ht="15.6" x14ac:dyDescent="0.3"/>
    <row r="163" ht="15.6" x14ac:dyDescent="0.3"/>
    <row r="164" ht="15.6" x14ac:dyDescent="0.3"/>
    <row r="165" ht="15.6" x14ac:dyDescent="0.3"/>
    <row r="166" ht="15.6" x14ac:dyDescent="0.3"/>
    <row r="167" ht="15.6" x14ac:dyDescent="0.3"/>
    <row r="168" ht="15.6" x14ac:dyDescent="0.3"/>
    <row r="169" ht="15.6" x14ac:dyDescent="0.3"/>
    <row r="170" ht="15.6" x14ac:dyDescent="0.3"/>
    <row r="171" ht="15.6" x14ac:dyDescent="0.3"/>
    <row r="172" ht="15.6" x14ac:dyDescent="0.3"/>
    <row r="173" ht="15.6" x14ac:dyDescent="0.3"/>
    <row r="174" ht="15.6" x14ac:dyDescent="0.3"/>
    <row r="175" ht="15.6" x14ac:dyDescent="0.3"/>
    <row r="176" ht="15.6" x14ac:dyDescent="0.3"/>
    <row r="177" ht="15.6" x14ac:dyDescent="0.3"/>
    <row r="178" ht="15.6" x14ac:dyDescent="0.3"/>
    <row r="179" ht="15.6" x14ac:dyDescent="0.3"/>
    <row r="180" ht="15.6" x14ac:dyDescent="0.3"/>
    <row r="181" ht="15.6" x14ac:dyDescent="0.3"/>
    <row r="182" ht="15.6" x14ac:dyDescent="0.3"/>
    <row r="183" ht="15.6" x14ac:dyDescent="0.3"/>
    <row r="184" ht="15.6" x14ac:dyDescent="0.3"/>
    <row r="185" ht="15.6" x14ac:dyDescent="0.3"/>
    <row r="186" ht="15.6" x14ac:dyDescent="0.3"/>
    <row r="187" ht="15.6" x14ac:dyDescent="0.3"/>
    <row r="188" ht="15.6" x14ac:dyDescent="0.3"/>
    <row r="189" ht="15.6" x14ac:dyDescent="0.3"/>
    <row r="190" ht="15.6" x14ac:dyDescent="0.3"/>
    <row r="191" ht="15.6" x14ac:dyDescent="0.3"/>
    <row r="192" ht="15.6" x14ac:dyDescent="0.3"/>
    <row r="193" ht="15.6" x14ac:dyDescent="0.3"/>
    <row r="194" ht="15.6" x14ac:dyDescent="0.3"/>
    <row r="195" ht="15.6" x14ac:dyDescent="0.3"/>
    <row r="196" ht="15.6" x14ac:dyDescent="0.3"/>
    <row r="197" ht="15.6" x14ac:dyDescent="0.3"/>
    <row r="198" ht="15.6" x14ac:dyDescent="0.3"/>
    <row r="199" ht="15.6" x14ac:dyDescent="0.3"/>
    <row r="200" ht="15.6" x14ac:dyDescent="0.3"/>
    <row r="201" ht="15.6" x14ac:dyDescent="0.3"/>
    <row r="202" ht="15.6" x14ac:dyDescent="0.3"/>
    <row r="203" ht="15.6" x14ac:dyDescent="0.3"/>
    <row r="204" ht="15.6" x14ac:dyDescent="0.3"/>
    <row r="205" ht="15.6" x14ac:dyDescent="0.3"/>
    <row r="206" ht="15.6" x14ac:dyDescent="0.3"/>
    <row r="207" ht="15.6" x14ac:dyDescent="0.3"/>
    <row r="208" ht="15.6" x14ac:dyDescent="0.3"/>
    <row r="209" ht="15.6" x14ac:dyDescent="0.3"/>
    <row r="210" ht="15.6" x14ac:dyDescent="0.3"/>
    <row r="211" ht="15.6" x14ac:dyDescent="0.3"/>
    <row r="212" ht="15.6" x14ac:dyDescent="0.3"/>
    <row r="213" ht="15.6" x14ac:dyDescent="0.3"/>
    <row r="214" ht="15.6" x14ac:dyDescent="0.3"/>
    <row r="215" ht="15.6" x14ac:dyDescent="0.3"/>
    <row r="216" ht="15.6" x14ac:dyDescent="0.3"/>
    <row r="217" ht="15.6" x14ac:dyDescent="0.3"/>
    <row r="218" ht="15.6" x14ac:dyDescent="0.3"/>
    <row r="219" ht="15.6" x14ac:dyDescent="0.3"/>
    <row r="220" ht="15.6" x14ac:dyDescent="0.3"/>
    <row r="221" ht="15.6" x14ac:dyDescent="0.3"/>
    <row r="222" ht="15.6" x14ac:dyDescent="0.3"/>
    <row r="223" ht="15.6" x14ac:dyDescent="0.3"/>
    <row r="224" ht="15.6" x14ac:dyDescent="0.3"/>
    <row r="225" ht="15.6" x14ac:dyDescent="0.3"/>
    <row r="226" ht="15.6" x14ac:dyDescent="0.3"/>
    <row r="227" ht="15.6" x14ac:dyDescent="0.3"/>
    <row r="228" ht="15.6" x14ac:dyDescent="0.3"/>
    <row r="229" ht="15.6" x14ac:dyDescent="0.3"/>
    <row r="230" ht="15.6" x14ac:dyDescent="0.3"/>
    <row r="231" ht="15.6" x14ac:dyDescent="0.3"/>
    <row r="232" ht="15.6" x14ac:dyDescent="0.3"/>
    <row r="233" ht="15.6" x14ac:dyDescent="0.3"/>
    <row r="234" ht="15.6" x14ac:dyDescent="0.3"/>
    <row r="235" ht="15.6" x14ac:dyDescent="0.3"/>
    <row r="236" ht="15.6" x14ac:dyDescent="0.3"/>
    <row r="237" ht="15.6" x14ac:dyDescent="0.3"/>
    <row r="238" ht="15.6" x14ac:dyDescent="0.3"/>
    <row r="239" ht="15.6" x14ac:dyDescent="0.3"/>
    <row r="240" ht="15.6" x14ac:dyDescent="0.3"/>
    <row r="241" ht="15.6" x14ac:dyDescent="0.3"/>
    <row r="242" ht="15.6" x14ac:dyDescent="0.3"/>
    <row r="243" ht="15.6" x14ac:dyDescent="0.3"/>
    <row r="244" ht="15.6" x14ac:dyDescent="0.3"/>
    <row r="245" ht="15.6" x14ac:dyDescent="0.3"/>
    <row r="246" ht="15.6" x14ac:dyDescent="0.3"/>
    <row r="247" ht="15.6" x14ac:dyDescent="0.3"/>
    <row r="248" ht="15.6" x14ac:dyDescent="0.3"/>
    <row r="249" ht="15.6" x14ac:dyDescent="0.3"/>
    <row r="250" ht="15.6" x14ac:dyDescent="0.3"/>
    <row r="251" ht="15.6" x14ac:dyDescent="0.3"/>
    <row r="252" ht="15.6" x14ac:dyDescent="0.3"/>
    <row r="253" ht="15.6" x14ac:dyDescent="0.3"/>
    <row r="254" ht="15.6" x14ac:dyDescent="0.3"/>
    <row r="255" ht="15.6" x14ac:dyDescent="0.3"/>
    <row r="256" ht="15.6" x14ac:dyDescent="0.3"/>
    <row r="257" ht="15.6" x14ac:dyDescent="0.3"/>
    <row r="258" ht="15.6" x14ac:dyDescent="0.3"/>
    <row r="259" ht="15.6" x14ac:dyDescent="0.3"/>
    <row r="260" ht="15.6" x14ac:dyDescent="0.3"/>
    <row r="261" ht="15.6" x14ac:dyDescent="0.3"/>
    <row r="262" ht="15.6" x14ac:dyDescent="0.3"/>
    <row r="263" ht="15.6" x14ac:dyDescent="0.3"/>
    <row r="264" ht="15.6" x14ac:dyDescent="0.3"/>
    <row r="265" ht="15.6" x14ac:dyDescent="0.3"/>
    <row r="266" ht="15.6" x14ac:dyDescent="0.3"/>
    <row r="267" ht="15.6" x14ac:dyDescent="0.3"/>
    <row r="268" ht="15.6" x14ac:dyDescent="0.3"/>
    <row r="269" ht="15.6" x14ac:dyDescent="0.3"/>
    <row r="270" ht="15.6" x14ac:dyDescent="0.3"/>
    <row r="271" ht="15.6" x14ac:dyDescent="0.3"/>
    <row r="272" ht="15.6" x14ac:dyDescent="0.3"/>
    <row r="273" ht="15.6" x14ac:dyDescent="0.3"/>
    <row r="274" ht="15.6" x14ac:dyDescent="0.3"/>
    <row r="275" ht="15.6" x14ac:dyDescent="0.3"/>
    <row r="276" ht="15.6" x14ac:dyDescent="0.3"/>
    <row r="277" ht="15.6" x14ac:dyDescent="0.3"/>
    <row r="278" ht="15.6" x14ac:dyDescent="0.3"/>
    <row r="279" ht="15.6" x14ac:dyDescent="0.3"/>
    <row r="280" ht="15.6" x14ac:dyDescent="0.3"/>
    <row r="281" ht="15.6" x14ac:dyDescent="0.3"/>
    <row r="282" ht="15.6" x14ac:dyDescent="0.3"/>
    <row r="283" ht="15.6" x14ac:dyDescent="0.3"/>
    <row r="284" ht="15.6" x14ac:dyDescent="0.3"/>
    <row r="285" ht="15.6" x14ac:dyDescent="0.3"/>
    <row r="286" ht="15.6" x14ac:dyDescent="0.3"/>
    <row r="287" ht="15.6" x14ac:dyDescent="0.3"/>
    <row r="288" ht="15.6" x14ac:dyDescent="0.3"/>
    <row r="289" ht="15.6" x14ac:dyDescent="0.3"/>
    <row r="290" ht="15.6" x14ac:dyDescent="0.3"/>
    <row r="291" ht="15.6" x14ac:dyDescent="0.3"/>
    <row r="292" ht="15.6" x14ac:dyDescent="0.3"/>
    <row r="293" ht="15.6" x14ac:dyDescent="0.3"/>
    <row r="294" ht="15.6" x14ac:dyDescent="0.3"/>
    <row r="295" ht="15.6" x14ac:dyDescent="0.3"/>
    <row r="296" ht="15.6" x14ac:dyDescent="0.3"/>
    <row r="297" ht="15.6" x14ac:dyDescent="0.3"/>
    <row r="298" ht="15.6" x14ac:dyDescent="0.3"/>
    <row r="299" ht="15.6" x14ac:dyDescent="0.3"/>
    <row r="300" ht="15.6" x14ac:dyDescent="0.3"/>
    <row r="301" ht="15.6" x14ac:dyDescent="0.3"/>
    <row r="302" ht="15.6" x14ac:dyDescent="0.3"/>
    <row r="303" ht="15.6" x14ac:dyDescent="0.3"/>
    <row r="304" ht="15.6" x14ac:dyDescent="0.3"/>
    <row r="305" ht="15.6" x14ac:dyDescent="0.3"/>
    <row r="306" ht="15.6" x14ac:dyDescent="0.3"/>
    <row r="307" ht="15.6" x14ac:dyDescent="0.3"/>
    <row r="308" ht="15.6" x14ac:dyDescent="0.3"/>
    <row r="309" ht="15.6" x14ac:dyDescent="0.3"/>
    <row r="310" ht="15.6" x14ac:dyDescent="0.3"/>
    <row r="311" ht="15.6" x14ac:dyDescent="0.3"/>
    <row r="312" ht="15.6" x14ac:dyDescent="0.3"/>
    <row r="313" ht="15.6" x14ac:dyDescent="0.3"/>
    <row r="314" ht="15.6" x14ac:dyDescent="0.3"/>
    <row r="315" ht="15.6" x14ac:dyDescent="0.3"/>
    <row r="316" ht="15.6" x14ac:dyDescent="0.3"/>
    <row r="317" ht="15.6" x14ac:dyDescent="0.3"/>
    <row r="318" ht="15.6" x14ac:dyDescent="0.3"/>
    <row r="319" ht="15.6" x14ac:dyDescent="0.3"/>
    <row r="320" ht="15.6" x14ac:dyDescent="0.3"/>
    <row r="321" ht="15.6" x14ac:dyDescent="0.3"/>
    <row r="322" ht="15.6" x14ac:dyDescent="0.3"/>
    <row r="323" ht="15.6" x14ac:dyDescent="0.3"/>
    <row r="324" ht="15.6" x14ac:dyDescent="0.3"/>
    <row r="325" ht="15.6" x14ac:dyDescent="0.3"/>
    <row r="326" ht="15.6" x14ac:dyDescent="0.3"/>
    <row r="327" ht="15.6" x14ac:dyDescent="0.3"/>
    <row r="328" ht="15.6" x14ac:dyDescent="0.3"/>
    <row r="329" ht="15.6" x14ac:dyDescent="0.3"/>
    <row r="330" ht="15.6" x14ac:dyDescent="0.3"/>
    <row r="331" ht="15.6" x14ac:dyDescent="0.3"/>
    <row r="332" ht="15.6" x14ac:dyDescent="0.3"/>
    <row r="333" ht="15.6" x14ac:dyDescent="0.3"/>
    <row r="334" ht="15.6" x14ac:dyDescent="0.3"/>
    <row r="335" ht="15.6" x14ac:dyDescent="0.3"/>
    <row r="336" ht="15.6" x14ac:dyDescent="0.3"/>
    <row r="337" ht="15.6" x14ac:dyDescent="0.3"/>
    <row r="338" ht="15.6" x14ac:dyDescent="0.3"/>
    <row r="339" ht="15.6" x14ac:dyDescent="0.3"/>
    <row r="340" ht="15.6" x14ac:dyDescent="0.3"/>
    <row r="341" ht="15.6" x14ac:dyDescent="0.3"/>
    <row r="342" ht="15.6" x14ac:dyDescent="0.3"/>
    <row r="343" ht="15.6" x14ac:dyDescent="0.3"/>
    <row r="344" ht="15.6" x14ac:dyDescent="0.3"/>
    <row r="345" ht="15.6" x14ac:dyDescent="0.3"/>
    <row r="346" ht="15.6" x14ac:dyDescent="0.3"/>
    <row r="347" ht="15.6" x14ac:dyDescent="0.3"/>
    <row r="348" ht="15.6" x14ac:dyDescent="0.3"/>
    <row r="349" ht="15.6" x14ac:dyDescent="0.3"/>
    <row r="350" ht="15.6" x14ac:dyDescent="0.3"/>
    <row r="351" ht="15.6" x14ac:dyDescent="0.3"/>
    <row r="352" ht="15.6" x14ac:dyDescent="0.3"/>
    <row r="353" ht="15.6" x14ac:dyDescent="0.3"/>
    <row r="354" ht="15.6" x14ac:dyDescent="0.3"/>
    <row r="355" ht="15.6" x14ac:dyDescent="0.3"/>
    <row r="356" ht="15.6" x14ac:dyDescent="0.3"/>
    <row r="357" ht="15.6" x14ac:dyDescent="0.3"/>
    <row r="358" ht="15.6" x14ac:dyDescent="0.3"/>
    <row r="359" ht="15.6" x14ac:dyDescent="0.3"/>
    <row r="360" ht="15.6" x14ac:dyDescent="0.3"/>
    <row r="361" ht="15.6" x14ac:dyDescent="0.3"/>
    <row r="362" ht="15.6" x14ac:dyDescent="0.3"/>
    <row r="363" ht="15.6" x14ac:dyDescent="0.3"/>
    <row r="364" ht="15.6" x14ac:dyDescent="0.3"/>
    <row r="365" ht="15.6" x14ac:dyDescent="0.3"/>
    <row r="366" ht="15.6" x14ac:dyDescent="0.3"/>
    <row r="367" ht="15.6" x14ac:dyDescent="0.3"/>
    <row r="368" ht="15.6" x14ac:dyDescent="0.3"/>
    <row r="369" ht="15.6" x14ac:dyDescent="0.3"/>
    <row r="370" ht="15.6" x14ac:dyDescent="0.3"/>
    <row r="371" ht="15.6" x14ac:dyDescent="0.3"/>
    <row r="372" ht="15.6" x14ac:dyDescent="0.3"/>
    <row r="373" ht="15.6" x14ac:dyDescent="0.3"/>
    <row r="374" ht="15.6" x14ac:dyDescent="0.3"/>
    <row r="375" ht="15.6" x14ac:dyDescent="0.3"/>
    <row r="376" ht="15.6" x14ac:dyDescent="0.3"/>
    <row r="377" ht="15.6" x14ac:dyDescent="0.3"/>
    <row r="378" ht="15.6" x14ac:dyDescent="0.3"/>
    <row r="379" ht="15.6" x14ac:dyDescent="0.3"/>
    <row r="380" ht="15.6" x14ac:dyDescent="0.3"/>
    <row r="381" ht="15.6" x14ac:dyDescent="0.3"/>
    <row r="382" ht="15.6" x14ac:dyDescent="0.3"/>
    <row r="383" ht="15.6" x14ac:dyDescent="0.3"/>
    <row r="384" ht="15.6" x14ac:dyDescent="0.3"/>
    <row r="385" ht="15.6" x14ac:dyDescent="0.3"/>
    <row r="386" ht="15.6" x14ac:dyDescent="0.3"/>
    <row r="387" ht="15.6" x14ac:dyDescent="0.3"/>
    <row r="388" ht="15.6" x14ac:dyDescent="0.3"/>
    <row r="389" ht="15.6" x14ac:dyDescent="0.3"/>
    <row r="390" ht="15.6" x14ac:dyDescent="0.3"/>
    <row r="391" ht="15.6" x14ac:dyDescent="0.3"/>
    <row r="392" ht="15.6" x14ac:dyDescent="0.3"/>
    <row r="393" ht="15.6" x14ac:dyDescent="0.3"/>
    <row r="394" ht="15.6" x14ac:dyDescent="0.3"/>
    <row r="395" ht="15.6" x14ac:dyDescent="0.3"/>
    <row r="396" ht="15.6" x14ac:dyDescent="0.3"/>
    <row r="397" ht="15.6" x14ac:dyDescent="0.3"/>
    <row r="398" ht="15.6" x14ac:dyDescent="0.3"/>
    <row r="399" ht="15.6" x14ac:dyDescent="0.3"/>
    <row r="400" ht="15.6" x14ac:dyDescent="0.3"/>
    <row r="401" ht="15.6" x14ac:dyDescent="0.3"/>
    <row r="402" ht="15.6" x14ac:dyDescent="0.3"/>
    <row r="403" ht="15.6" x14ac:dyDescent="0.3"/>
    <row r="404" ht="15.6" x14ac:dyDescent="0.3"/>
    <row r="405" ht="15.6" x14ac:dyDescent="0.3"/>
    <row r="406" ht="15.6" x14ac:dyDescent="0.3"/>
    <row r="407" ht="15.6" x14ac:dyDescent="0.3"/>
    <row r="408" ht="15.6" x14ac:dyDescent="0.3"/>
    <row r="409" ht="15.6" x14ac:dyDescent="0.3"/>
    <row r="410" ht="15.6" x14ac:dyDescent="0.3"/>
    <row r="411" ht="15.6" x14ac:dyDescent="0.3"/>
    <row r="412" ht="15.6" x14ac:dyDescent="0.3"/>
    <row r="413" ht="15.6" x14ac:dyDescent="0.3"/>
    <row r="414" ht="15.6" x14ac:dyDescent="0.3"/>
    <row r="415" ht="15.6" x14ac:dyDescent="0.3"/>
    <row r="416" ht="15.6" x14ac:dyDescent="0.3"/>
    <row r="417" ht="15.6" x14ac:dyDescent="0.3"/>
    <row r="418" ht="15.6" x14ac:dyDescent="0.3"/>
    <row r="419" ht="15.6" x14ac:dyDescent="0.3"/>
    <row r="420" ht="15.6" x14ac:dyDescent="0.3"/>
    <row r="421" ht="15.6" x14ac:dyDescent="0.3"/>
    <row r="422" ht="15.6" x14ac:dyDescent="0.3"/>
    <row r="423" ht="15.6" x14ac:dyDescent="0.3"/>
    <row r="424" ht="15.6" x14ac:dyDescent="0.3"/>
    <row r="425" ht="15.6" x14ac:dyDescent="0.3"/>
    <row r="426" ht="15.6" x14ac:dyDescent="0.3"/>
    <row r="427" ht="15.6" x14ac:dyDescent="0.3"/>
    <row r="428" ht="15.6" x14ac:dyDescent="0.3"/>
    <row r="429" ht="15.6" x14ac:dyDescent="0.3"/>
    <row r="430" ht="15.6" x14ac:dyDescent="0.3"/>
    <row r="431" ht="15.6" x14ac:dyDescent="0.3"/>
    <row r="432" ht="15.6" x14ac:dyDescent="0.3"/>
    <row r="433" ht="15.6" x14ac:dyDescent="0.3"/>
    <row r="434" ht="15.6" x14ac:dyDescent="0.3"/>
    <row r="435" ht="15.6" x14ac:dyDescent="0.3"/>
    <row r="436" ht="15.6" x14ac:dyDescent="0.3"/>
    <row r="437" ht="15.6" x14ac:dyDescent="0.3"/>
    <row r="438" ht="15.6" x14ac:dyDescent="0.3"/>
    <row r="439" ht="15.6" x14ac:dyDescent="0.3"/>
    <row r="440" ht="15.6" x14ac:dyDescent="0.3"/>
    <row r="441" ht="15.6" x14ac:dyDescent="0.3"/>
    <row r="442" ht="15.6" x14ac:dyDescent="0.3"/>
    <row r="443" ht="15.6" x14ac:dyDescent="0.3"/>
    <row r="444" ht="15.6" x14ac:dyDescent="0.3"/>
    <row r="445" ht="15.6" x14ac:dyDescent="0.3"/>
    <row r="446" ht="15.6" x14ac:dyDescent="0.3"/>
    <row r="447" ht="15.6" x14ac:dyDescent="0.3"/>
    <row r="448" ht="15.6" x14ac:dyDescent="0.3"/>
    <row r="449" ht="15.6" x14ac:dyDescent="0.3"/>
    <row r="450" ht="15.6" x14ac:dyDescent="0.3"/>
    <row r="451" ht="15.6" x14ac:dyDescent="0.3"/>
    <row r="452" ht="15.6" x14ac:dyDescent="0.3"/>
    <row r="453" ht="15.6" x14ac:dyDescent="0.3"/>
    <row r="454" ht="15.6" x14ac:dyDescent="0.3"/>
    <row r="455" ht="15.6" x14ac:dyDescent="0.3"/>
    <row r="456" ht="15.6" x14ac:dyDescent="0.3"/>
    <row r="457" ht="15.6" x14ac:dyDescent="0.3"/>
    <row r="458" ht="15.6" x14ac:dyDescent="0.3"/>
    <row r="459" ht="15.6" x14ac:dyDescent="0.3"/>
    <row r="460" ht="15.6" x14ac:dyDescent="0.3"/>
    <row r="461" ht="15.6" x14ac:dyDescent="0.3"/>
    <row r="462" ht="15.6" x14ac:dyDescent="0.3"/>
    <row r="463" ht="15.6" x14ac:dyDescent="0.3"/>
    <row r="464" ht="15.6" x14ac:dyDescent="0.3"/>
    <row r="465" ht="15.6" x14ac:dyDescent="0.3"/>
    <row r="466" ht="15.6" x14ac:dyDescent="0.3"/>
    <row r="467" ht="15.6" x14ac:dyDescent="0.3"/>
    <row r="468" ht="15.6" x14ac:dyDescent="0.3"/>
    <row r="469" ht="15.6" x14ac:dyDescent="0.3"/>
    <row r="470" ht="15.6" x14ac:dyDescent="0.3"/>
    <row r="471" ht="15.6" x14ac:dyDescent="0.3"/>
    <row r="472" ht="15.6" x14ac:dyDescent="0.3"/>
    <row r="473" ht="15.6" x14ac:dyDescent="0.3"/>
    <row r="474" ht="15.6" x14ac:dyDescent="0.3"/>
    <row r="475" ht="15.6" x14ac:dyDescent="0.3"/>
    <row r="476" ht="15.6" x14ac:dyDescent="0.3"/>
    <row r="477" ht="15.6" x14ac:dyDescent="0.3"/>
    <row r="478" ht="15.6" x14ac:dyDescent="0.3"/>
    <row r="479" ht="15.6" x14ac:dyDescent="0.3"/>
    <row r="480" ht="15.6" x14ac:dyDescent="0.3"/>
    <row r="481" ht="15.6" x14ac:dyDescent="0.3"/>
    <row r="482" ht="15.6" x14ac:dyDescent="0.3"/>
    <row r="483" ht="15.6" x14ac:dyDescent="0.3"/>
    <row r="484" ht="15.6" x14ac:dyDescent="0.3"/>
    <row r="485" ht="15.6" x14ac:dyDescent="0.3"/>
    <row r="486" ht="15.6" x14ac:dyDescent="0.3"/>
    <row r="487" ht="15.6" x14ac:dyDescent="0.3"/>
    <row r="488" ht="15.6" x14ac:dyDescent="0.3"/>
    <row r="489" ht="15.6" x14ac:dyDescent="0.3"/>
    <row r="490" ht="15.6" x14ac:dyDescent="0.3"/>
    <row r="491" ht="15.6" x14ac:dyDescent="0.3"/>
    <row r="492" ht="15.6" x14ac:dyDescent="0.3"/>
    <row r="493" ht="15.6" x14ac:dyDescent="0.3"/>
    <row r="494" ht="15.6" x14ac:dyDescent="0.3"/>
    <row r="495" ht="15.6" x14ac:dyDescent="0.3"/>
    <row r="496" ht="15.6" x14ac:dyDescent="0.3"/>
    <row r="497" ht="15.6" x14ac:dyDescent="0.3"/>
    <row r="498" ht="15.6" x14ac:dyDescent="0.3"/>
    <row r="499" ht="15.6" x14ac:dyDescent="0.3"/>
    <row r="500" ht="15.6" x14ac:dyDescent="0.3"/>
    <row r="501" ht="15.6" x14ac:dyDescent="0.3"/>
    <row r="502" ht="15.6" x14ac:dyDescent="0.3"/>
    <row r="503" ht="15.6" x14ac:dyDescent="0.3"/>
    <row r="504" ht="15.6" x14ac:dyDescent="0.3"/>
    <row r="505" ht="15.6" x14ac:dyDescent="0.3"/>
    <row r="506" ht="15.6" x14ac:dyDescent="0.3"/>
    <row r="507" ht="15.6" x14ac:dyDescent="0.3"/>
    <row r="508" ht="15.6" x14ac:dyDescent="0.3"/>
    <row r="509" ht="15.6" x14ac:dyDescent="0.3"/>
    <row r="510" ht="15.6" x14ac:dyDescent="0.3"/>
    <row r="511" ht="15.6" x14ac:dyDescent="0.3"/>
    <row r="512" ht="15.6" x14ac:dyDescent="0.3"/>
    <row r="513" ht="15.6" x14ac:dyDescent="0.3"/>
    <row r="514" ht="15.6" x14ac:dyDescent="0.3"/>
    <row r="515" ht="15.6" x14ac:dyDescent="0.3"/>
    <row r="516" ht="15.6" x14ac:dyDescent="0.3"/>
    <row r="517" ht="15.6" x14ac:dyDescent="0.3"/>
    <row r="518" ht="15.6" x14ac:dyDescent="0.3"/>
    <row r="519" ht="15.6" x14ac:dyDescent="0.3"/>
    <row r="520" ht="15.6" x14ac:dyDescent="0.3"/>
    <row r="521" ht="15.6" x14ac:dyDescent="0.3"/>
    <row r="522" ht="15.6" x14ac:dyDescent="0.3"/>
    <row r="523" ht="15.6" x14ac:dyDescent="0.3"/>
    <row r="524" ht="15.6" x14ac:dyDescent="0.3"/>
    <row r="525" ht="15.6" x14ac:dyDescent="0.3"/>
    <row r="526" ht="15.6" x14ac:dyDescent="0.3"/>
    <row r="527" ht="15.6" x14ac:dyDescent="0.3"/>
    <row r="528" ht="15.6" x14ac:dyDescent="0.3"/>
    <row r="529" ht="15.6" x14ac:dyDescent="0.3"/>
    <row r="530" ht="15.6" x14ac:dyDescent="0.3"/>
    <row r="531" ht="15.6" x14ac:dyDescent="0.3"/>
    <row r="532" ht="15.6" x14ac:dyDescent="0.3"/>
    <row r="533" ht="15.6" x14ac:dyDescent="0.3"/>
    <row r="534" ht="15.6" x14ac:dyDescent="0.3"/>
    <row r="535" ht="15.6" x14ac:dyDescent="0.3"/>
    <row r="536" ht="15.6" x14ac:dyDescent="0.3"/>
    <row r="537" ht="15.6" x14ac:dyDescent="0.3"/>
    <row r="538" ht="15.6" x14ac:dyDescent="0.3"/>
    <row r="539" ht="15.6" x14ac:dyDescent="0.3"/>
    <row r="540" ht="15.6" x14ac:dyDescent="0.3"/>
    <row r="541" ht="15.6" x14ac:dyDescent="0.3"/>
    <row r="542" ht="15.6" x14ac:dyDescent="0.3"/>
    <row r="543" ht="15.6" x14ac:dyDescent="0.3"/>
    <row r="544" ht="15.6" x14ac:dyDescent="0.3"/>
    <row r="545" ht="15.6" x14ac:dyDescent="0.3"/>
    <row r="546" ht="15.6" x14ac:dyDescent="0.3"/>
    <row r="547" ht="15.6" x14ac:dyDescent="0.3"/>
    <row r="548" ht="15.6" x14ac:dyDescent="0.3"/>
    <row r="549" ht="15.6" x14ac:dyDescent="0.3"/>
    <row r="550" ht="15.6" x14ac:dyDescent="0.3"/>
    <row r="551" ht="15.6" x14ac:dyDescent="0.3"/>
    <row r="552" ht="15.6" x14ac:dyDescent="0.3"/>
    <row r="553" ht="15.6" x14ac:dyDescent="0.3"/>
    <row r="554" ht="15.6" x14ac:dyDescent="0.3"/>
    <row r="555" ht="15.6" x14ac:dyDescent="0.3"/>
    <row r="556" ht="15.6" x14ac:dyDescent="0.3"/>
    <row r="557" ht="15.6" x14ac:dyDescent="0.3"/>
    <row r="558" ht="15.6" x14ac:dyDescent="0.3"/>
    <row r="559" ht="15.6" x14ac:dyDescent="0.3"/>
    <row r="560" ht="15.6" x14ac:dyDescent="0.3"/>
    <row r="561" ht="15.6" x14ac:dyDescent="0.3"/>
    <row r="562" ht="15.6" x14ac:dyDescent="0.3"/>
    <row r="563" ht="15.6" x14ac:dyDescent="0.3"/>
    <row r="564" ht="15.6" x14ac:dyDescent="0.3"/>
    <row r="565" ht="15.6" x14ac:dyDescent="0.3"/>
    <row r="566" ht="15.6" x14ac:dyDescent="0.3"/>
    <row r="567" ht="15.6" x14ac:dyDescent="0.3"/>
    <row r="568" ht="15.6" x14ac:dyDescent="0.3"/>
    <row r="569" ht="15.6" x14ac:dyDescent="0.3"/>
    <row r="570" ht="15.6" x14ac:dyDescent="0.3"/>
    <row r="571" ht="15.6" x14ac:dyDescent="0.3"/>
    <row r="572" ht="15.6" x14ac:dyDescent="0.3"/>
    <row r="573" ht="15.6" x14ac:dyDescent="0.3"/>
    <row r="574" ht="15.6" x14ac:dyDescent="0.3"/>
    <row r="575" ht="15.6" x14ac:dyDescent="0.3"/>
    <row r="576" ht="15.6" x14ac:dyDescent="0.3"/>
    <row r="577" ht="15.6" x14ac:dyDescent="0.3"/>
    <row r="578" ht="15.6" x14ac:dyDescent="0.3"/>
    <row r="579" ht="15.6" x14ac:dyDescent="0.3"/>
    <row r="580" ht="15.6" x14ac:dyDescent="0.3"/>
    <row r="581" ht="15.6" x14ac:dyDescent="0.3"/>
    <row r="582" ht="15.6" x14ac:dyDescent="0.3"/>
    <row r="583" ht="15.6" x14ac:dyDescent="0.3"/>
    <row r="584" ht="15.6" x14ac:dyDescent="0.3"/>
    <row r="585" ht="15.6" x14ac:dyDescent="0.3"/>
    <row r="586" ht="15.6" x14ac:dyDescent="0.3"/>
    <row r="587" ht="15.6" x14ac:dyDescent="0.3"/>
    <row r="588" ht="15.6" x14ac:dyDescent="0.3"/>
    <row r="589" ht="15.6" x14ac:dyDescent="0.3"/>
    <row r="590" ht="15.6" x14ac:dyDescent="0.3"/>
    <row r="591" ht="15.6" x14ac:dyDescent="0.3"/>
    <row r="592" ht="15.6" x14ac:dyDescent="0.3"/>
    <row r="593" ht="15.6" x14ac:dyDescent="0.3"/>
    <row r="594" ht="15.6" x14ac:dyDescent="0.3"/>
    <row r="595" ht="15.6" x14ac:dyDescent="0.3"/>
    <row r="596" ht="15.6" x14ac:dyDescent="0.3"/>
    <row r="597" ht="15.6" x14ac:dyDescent="0.3"/>
    <row r="598" ht="15.6" x14ac:dyDescent="0.3"/>
    <row r="599" ht="15.6" x14ac:dyDescent="0.3"/>
    <row r="600" ht="15.6" x14ac:dyDescent="0.3"/>
    <row r="601" ht="15.6" x14ac:dyDescent="0.3"/>
    <row r="602" ht="15.6" x14ac:dyDescent="0.3"/>
    <row r="603" ht="15.6" x14ac:dyDescent="0.3"/>
    <row r="604" ht="15.6" x14ac:dyDescent="0.3"/>
    <row r="605" ht="15.6" x14ac:dyDescent="0.3"/>
    <row r="606" ht="15.6" x14ac:dyDescent="0.3"/>
    <row r="607" ht="15.6" x14ac:dyDescent="0.3"/>
    <row r="608" ht="15.6" x14ac:dyDescent="0.3"/>
    <row r="609" ht="15.6" x14ac:dyDescent="0.3"/>
    <row r="610" ht="15.6" x14ac:dyDescent="0.3"/>
    <row r="611" ht="15.6" x14ac:dyDescent="0.3"/>
    <row r="612" ht="15.6" x14ac:dyDescent="0.3"/>
    <row r="613" ht="15.6" x14ac:dyDescent="0.3"/>
    <row r="614" ht="15.6" x14ac:dyDescent="0.3"/>
    <row r="615" ht="15.6" x14ac:dyDescent="0.3"/>
    <row r="616" ht="15.6" x14ac:dyDescent="0.3"/>
    <row r="617" ht="15.6" x14ac:dyDescent="0.3"/>
    <row r="618" ht="15.6" x14ac:dyDescent="0.3"/>
    <row r="619" ht="15.6" x14ac:dyDescent="0.3"/>
    <row r="620" ht="15.6" x14ac:dyDescent="0.3"/>
    <row r="621" ht="15.6" x14ac:dyDescent="0.3"/>
    <row r="622" ht="15.6" x14ac:dyDescent="0.3"/>
    <row r="623" ht="15.6" x14ac:dyDescent="0.3"/>
    <row r="624" ht="15.6" x14ac:dyDescent="0.3"/>
    <row r="625" ht="15.6" x14ac:dyDescent="0.3"/>
    <row r="626" ht="15.6" x14ac:dyDescent="0.3"/>
    <row r="627" ht="15.6" x14ac:dyDescent="0.3"/>
    <row r="628" ht="15.6" x14ac:dyDescent="0.3"/>
    <row r="629" ht="15.6" x14ac:dyDescent="0.3"/>
    <row r="630" ht="15.6" x14ac:dyDescent="0.3"/>
    <row r="631" ht="15.6" x14ac:dyDescent="0.3"/>
    <row r="632" ht="15.6" x14ac:dyDescent="0.3"/>
    <row r="633" ht="15.6" x14ac:dyDescent="0.3"/>
    <row r="634" ht="15.6" x14ac:dyDescent="0.3"/>
    <row r="635" ht="15.6" x14ac:dyDescent="0.3"/>
    <row r="636" ht="15.6" x14ac:dyDescent="0.3"/>
    <row r="637" ht="15.6" x14ac:dyDescent="0.3"/>
    <row r="638" ht="15.6" x14ac:dyDescent="0.3"/>
    <row r="639" ht="15.6" x14ac:dyDescent="0.3"/>
    <row r="640" ht="15.6" x14ac:dyDescent="0.3"/>
    <row r="641" ht="15.6" x14ac:dyDescent="0.3"/>
    <row r="642" ht="15.6" x14ac:dyDescent="0.3"/>
    <row r="643" ht="15.6" x14ac:dyDescent="0.3"/>
    <row r="644" ht="15.6" x14ac:dyDescent="0.3"/>
    <row r="645" ht="15.6" x14ac:dyDescent="0.3"/>
    <row r="646" ht="15.6" x14ac:dyDescent="0.3"/>
    <row r="647" ht="15.6" x14ac:dyDescent="0.3"/>
    <row r="648" ht="15.6" x14ac:dyDescent="0.3"/>
    <row r="649" ht="15.6" x14ac:dyDescent="0.3"/>
    <row r="650" ht="15.6" x14ac:dyDescent="0.3"/>
    <row r="651" ht="15.6" x14ac:dyDescent="0.3"/>
    <row r="652" ht="15.6" x14ac:dyDescent="0.3"/>
    <row r="653" ht="15.6" x14ac:dyDescent="0.3"/>
    <row r="654" ht="15.6" x14ac:dyDescent="0.3"/>
    <row r="655" ht="15.6" x14ac:dyDescent="0.3"/>
    <row r="656" ht="15.6" x14ac:dyDescent="0.3"/>
    <row r="657" ht="15.6" x14ac:dyDescent="0.3"/>
    <row r="658" ht="15.6" x14ac:dyDescent="0.3"/>
    <row r="659" ht="15.6" x14ac:dyDescent="0.3"/>
    <row r="660" ht="15.6" x14ac:dyDescent="0.3"/>
    <row r="661" ht="15.6" x14ac:dyDescent="0.3"/>
    <row r="662" ht="15.6" x14ac:dyDescent="0.3"/>
    <row r="663" ht="15.6" x14ac:dyDescent="0.3"/>
    <row r="664" ht="15.6" x14ac:dyDescent="0.3"/>
    <row r="665" ht="15.6" x14ac:dyDescent="0.3"/>
    <row r="666" ht="15.6" x14ac:dyDescent="0.3"/>
    <row r="667" ht="15.6" x14ac:dyDescent="0.3"/>
    <row r="668" ht="15.6" x14ac:dyDescent="0.3"/>
    <row r="669" ht="15.6" x14ac:dyDescent="0.3"/>
    <row r="670" ht="15.6" x14ac:dyDescent="0.3"/>
    <row r="671" ht="15.6" x14ac:dyDescent="0.3"/>
    <row r="672" ht="15.6" x14ac:dyDescent="0.3"/>
    <row r="673" ht="15.6" x14ac:dyDescent="0.3"/>
    <row r="674" ht="15.6" x14ac:dyDescent="0.3"/>
    <row r="675" ht="15.6" x14ac:dyDescent="0.3"/>
    <row r="676" ht="15.6" x14ac:dyDescent="0.3"/>
    <row r="677" ht="15.6" x14ac:dyDescent="0.3"/>
    <row r="678" ht="15.6" x14ac:dyDescent="0.3"/>
    <row r="679" ht="15.6" x14ac:dyDescent="0.3"/>
    <row r="680" ht="15.6" x14ac:dyDescent="0.3"/>
    <row r="681" ht="15.6" x14ac:dyDescent="0.3"/>
    <row r="682" ht="15.6" x14ac:dyDescent="0.3"/>
    <row r="683" ht="15.6" x14ac:dyDescent="0.3"/>
    <row r="684" ht="15.6" x14ac:dyDescent="0.3"/>
    <row r="685" ht="15.6" x14ac:dyDescent="0.3"/>
    <row r="686" ht="15.6" x14ac:dyDescent="0.3"/>
    <row r="687" ht="15.6" x14ac:dyDescent="0.3"/>
    <row r="688" ht="15.6" x14ac:dyDescent="0.3"/>
    <row r="689" ht="15.6" x14ac:dyDescent="0.3"/>
    <row r="690" ht="15.6" x14ac:dyDescent="0.3"/>
    <row r="691" ht="15.6" x14ac:dyDescent="0.3"/>
    <row r="692" ht="15.6" x14ac:dyDescent="0.3"/>
    <row r="693" ht="15.6" x14ac:dyDescent="0.3"/>
    <row r="694" ht="15.6" x14ac:dyDescent="0.3"/>
    <row r="695" ht="15.6" x14ac:dyDescent="0.3"/>
    <row r="696" ht="15.6" x14ac:dyDescent="0.3"/>
    <row r="697" ht="15.6" x14ac:dyDescent="0.3"/>
    <row r="698" ht="15.6" x14ac:dyDescent="0.3"/>
    <row r="699" ht="15.6" x14ac:dyDescent="0.3"/>
    <row r="700" ht="15.6" x14ac:dyDescent="0.3"/>
    <row r="701" ht="15.6" x14ac:dyDescent="0.3"/>
    <row r="702" ht="15.6" x14ac:dyDescent="0.3"/>
    <row r="703" ht="15.6" x14ac:dyDescent="0.3"/>
    <row r="704" ht="15.6" x14ac:dyDescent="0.3"/>
    <row r="705" ht="15.6" x14ac:dyDescent="0.3"/>
    <row r="706" ht="15.6" x14ac:dyDescent="0.3"/>
    <row r="707" ht="15.6" x14ac:dyDescent="0.3"/>
    <row r="708" ht="15.6" x14ac:dyDescent="0.3"/>
    <row r="709" ht="15.6" x14ac:dyDescent="0.3"/>
    <row r="710" ht="15.6" x14ac:dyDescent="0.3"/>
    <row r="711" ht="15.6" x14ac:dyDescent="0.3"/>
    <row r="712" ht="15.6" x14ac:dyDescent="0.3"/>
    <row r="713" ht="15.6" x14ac:dyDescent="0.3"/>
    <row r="714" ht="15.6" x14ac:dyDescent="0.3"/>
    <row r="715" ht="15.6" x14ac:dyDescent="0.3"/>
    <row r="716" ht="15.6" x14ac:dyDescent="0.3"/>
    <row r="717" ht="15.6" x14ac:dyDescent="0.3"/>
    <row r="718" ht="15.6" x14ac:dyDescent="0.3"/>
    <row r="719" ht="15.6" x14ac:dyDescent="0.3"/>
    <row r="720" ht="15.6" x14ac:dyDescent="0.3"/>
    <row r="721" ht="15.6" x14ac:dyDescent="0.3"/>
    <row r="722" ht="15.6" x14ac:dyDescent="0.3"/>
    <row r="723" ht="15.6" x14ac:dyDescent="0.3"/>
    <row r="724" ht="15.6" x14ac:dyDescent="0.3"/>
    <row r="725" ht="15.6" x14ac:dyDescent="0.3"/>
    <row r="726" ht="15.6" x14ac:dyDescent="0.3"/>
    <row r="727" ht="15.6" x14ac:dyDescent="0.3"/>
    <row r="728" ht="15.6" x14ac:dyDescent="0.3"/>
    <row r="729" ht="15.6" x14ac:dyDescent="0.3"/>
    <row r="730" ht="15.6" x14ac:dyDescent="0.3"/>
    <row r="731" ht="15.6" x14ac:dyDescent="0.3"/>
    <row r="732" ht="15.6" x14ac:dyDescent="0.3"/>
    <row r="733" ht="15.6" x14ac:dyDescent="0.3"/>
    <row r="734" ht="15.6" x14ac:dyDescent="0.3"/>
    <row r="735" ht="15.6" x14ac:dyDescent="0.3"/>
    <row r="736" ht="15.6" x14ac:dyDescent="0.3"/>
    <row r="737" ht="15.6" x14ac:dyDescent="0.3"/>
    <row r="738" ht="15.6" x14ac:dyDescent="0.3"/>
    <row r="739" ht="15.6" x14ac:dyDescent="0.3"/>
    <row r="740" ht="15.6" x14ac:dyDescent="0.3"/>
    <row r="741" ht="15.6" x14ac:dyDescent="0.3"/>
    <row r="742" ht="15.6" x14ac:dyDescent="0.3"/>
    <row r="743" ht="15.6" x14ac:dyDescent="0.3"/>
    <row r="744" ht="15.6" x14ac:dyDescent="0.3"/>
    <row r="745" ht="15.6" x14ac:dyDescent="0.3"/>
    <row r="746" ht="15.6" x14ac:dyDescent="0.3"/>
    <row r="747" ht="15.6" x14ac:dyDescent="0.3"/>
    <row r="748" ht="15.6" x14ac:dyDescent="0.3"/>
    <row r="749" ht="15.6" x14ac:dyDescent="0.3"/>
    <row r="750" ht="15.6" x14ac:dyDescent="0.3"/>
    <row r="751" ht="15.6" x14ac:dyDescent="0.3"/>
    <row r="752" ht="15.6" x14ac:dyDescent="0.3"/>
    <row r="753" ht="15.6" x14ac:dyDescent="0.3"/>
    <row r="754" ht="15.6" x14ac:dyDescent="0.3"/>
    <row r="755" ht="15.6" x14ac:dyDescent="0.3"/>
    <row r="756" ht="15.6" x14ac:dyDescent="0.3"/>
    <row r="757" ht="15.6" x14ac:dyDescent="0.3"/>
    <row r="758" ht="15.6" x14ac:dyDescent="0.3"/>
    <row r="759" ht="15.6" x14ac:dyDescent="0.3"/>
    <row r="760" ht="15.6" x14ac:dyDescent="0.3"/>
    <row r="761" ht="15.6" x14ac:dyDescent="0.3"/>
    <row r="762" ht="15.6" x14ac:dyDescent="0.3"/>
    <row r="763" ht="15.6" x14ac:dyDescent="0.3"/>
    <row r="764" ht="15.6" x14ac:dyDescent="0.3"/>
    <row r="765" ht="15.6" x14ac:dyDescent="0.3"/>
    <row r="766" ht="15.6" x14ac:dyDescent="0.3"/>
    <row r="767" ht="15.6" x14ac:dyDescent="0.3"/>
    <row r="768" ht="15.6" x14ac:dyDescent="0.3"/>
    <row r="769" ht="15.6" x14ac:dyDescent="0.3"/>
    <row r="770" ht="15.6" x14ac:dyDescent="0.3"/>
    <row r="771" ht="15.6" x14ac:dyDescent="0.3"/>
    <row r="772" ht="15.6" x14ac:dyDescent="0.3"/>
    <row r="773" ht="15.6" x14ac:dyDescent="0.3"/>
    <row r="774" ht="15.6" x14ac:dyDescent="0.3"/>
    <row r="775" ht="15.6" x14ac:dyDescent="0.3"/>
    <row r="776" ht="15.6" x14ac:dyDescent="0.3"/>
    <row r="777" ht="15.6" x14ac:dyDescent="0.3"/>
    <row r="778" ht="15.6" x14ac:dyDescent="0.3"/>
    <row r="779" ht="15.6" x14ac:dyDescent="0.3"/>
    <row r="780" ht="15.6" x14ac:dyDescent="0.3"/>
    <row r="781" ht="15.6" x14ac:dyDescent="0.3"/>
    <row r="782" ht="15.6" x14ac:dyDescent="0.3"/>
    <row r="783" ht="15.6" x14ac:dyDescent="0.3"/>
    <row r="784" ht="15.6" x14ac:dyDescent="0.3"/>
    <row r="785" ht="15.6" x14ac:dyDescent="0.3"/>
    <row r="786" ht="15.6" x14ac:dyDescent="0.3"/>
    <row r="787" ht="15.6" x14ac:dyDescent="0.3"/>
    <row r="788" ht="15.6" x14ac:dyDescent="0.3"/>
    <row r="789" ht="15.6" x14ac:dyDescent="0.3"/>
    <row r="790" ht="15.6" x14ac:dyDescent="0.3"/>
    <row r="791" ht="15.6" x14ac:dyDescent="0.3"/>
    <row r="792" ht="15.6" x14ac:dyDescent="0.3"/>
    <row r="793" ht="15.6" x14ac:dyDescent="0.3"/>
    <row r="794" ht="15.6" x14ac:dyDescent="0.3"/>
    <row r="795" ht="15.6" x14ac:dyDescent="0.3"/>
    <row r="796" ht="15.6" x14ac:dyDescent="0.3"/>
    <row r="797" ht="15.6" x14ac:dyDescent="0.3"/>
    <row r="798" ht="15.6" x14ac:dyDescent="0.3"/>
    <row r="799" ht="15.6" x14ac:dyDescent="0.3"/>
    <row r="800" ht="15.6" x14ac:dyDescent="0.3"/>
    <row r="801" ht="15.6" x14ac:dyDescent="0.3"/>
    <row r="802" ht="15.6" x14ac:dyDescent="0.3"/>
    <row r="803" ht="15.6" x14ac:dyDescent="0.3"/>
    <row r="804" ht="15.6" x14ac:dyDescent="0.3"/>
    <row r="805" ht="15.6" x14ac:dyDescent="0.3"/>
    <row r="806" ht="15.6" x14ac:dyDescent="0.3"/>
    <row r="807" ht="15.6" x14ac:dyDescent="0.3"/>
    <row r="808" ht="15.6" x14ac:dyDescent="0.3"/>
    <row r="809" ht="15.6" x14ac:dyDescent="0.3"/>
    <row r="810" ht="15.6" x14ac:dyDescent="0.3"/>
    <row r="811" ht="15.6" x14ac:dyDescent="0.3"/>
    <row r="812" ht="15.6" x14ac:dyDescent="0.3"/>
    <row r="813" ht="15.6" x14ac:dyDescent="0.3"/>
    <row r="814" ht="15.6" x14ac:dyDescent="0.3"/>
    <row r="815" ht="15.6" x14ac:dyDescent="0.3"/>
    <row r="816" ht="15.6" x14ac:dyDescent="0.3"/>
    <row r="817" ht="15.6" x14ac:dyDescent="0.3"/>
    <row r="818" ht="15.6" x14ac:dyDescent="0.3"/>
    <row r="819" ht="15.6" x14ac:dyDescent="0.3"/>
    <row r="820" ht="15.6" x14ac:dyDescent="0.3"/>
    <row r="821" ht="15.6" x14ac:dyDescent="0.3"/>
    <row r="822" ht="15.6" x14ac:dyDescent="0.3"/>
    <row r="823" ht="15.6" x14ac:dyDescent="0.3"/>
    <row r="824" ht="15.6" x14ac:dyDescent="0.3"/>
    <row r="825" ht="15.6" x14ac:dyDescent="0.3"/>
    <row r="826" ht="15.6" x14ac:dyDescent="0.3"/>
    <row r="827" ht="15.6" x14ac:dyDescent="0.3"/>
    <row r="828" ht="15.6" x14ac:dyDescent="0.3"/>
    <row r="829" ht="15.6" x14ac:dyDescent="0.3"/>
    <row r="830" ht="15.6" x14ac:dyDescent="0.3"/>
    <row r="831" ht="15.6" x14ac:dyDescent="0.3"/>
    <row r="832" ht="15.6" x14ac:dyDescent="0.3"/>
    <row r="833" ht="15.6" x14ac:dyDescent="0.3"/>
    <row r="834" ht="15.6" x14ac:dyDescent="0.3"/>
    <row r="835" ht="15.6" x14ac:dyDescent="0.3"/>
    <row r="836" ht="15.6" x14ac:dyDescent="0.3"/>
    <row r="837" ht="15.6" x14ac:dyDescent="0.3"/>
    <row r="838" ht="15.6" x14ac:dyDescent="0.3"/>
    <row r="839" ht="15.6" x14ac:dyDescent="0.3"/>
    <row r="840" ht="15.6" x14ac:dyDescent="0.3"/>
    <row r="841" ht="15.6" x14ac:dyDescent="0.3"/>
    <row r="842" ht="15.6" x14ac:dyDescent="0.3"/>
    <row r="843" ht="15.6" x14ac:dyDescent="0.3"/>
    <row r="844" ht="15.6" x14ac:dyDescent="0.3"/>
    <row r="845" ht="15.6" x14ac:dyDescent="0.3"/>
    <row r="846" ht="15.6" x14ac:dyDescent="0.3"/>
    <row r="847" ht="15.6" x14ac:dyDescent="0.3"/>
    <row r="848" ht="15.6" x14ac:dyDescent="0.3"/>
    <row r="849" ht="15.6" x14ac:dyDescent="0.3"/>
    <row r="850" ht="15.6" x14ac:dyDescent="0.3"/>
    <row r="851" ht="15.6" x14ac:dyDescent="0.3"/>
    <row r="852" ht="15.6" x14ac:dyDescent="0.3"/>
    <row r="853" ht="15.6" x14ac:dyDescent="0.3"/>
    <row r="854" ht="15.6" x14ac:dyDescent="0.3"/>
    <row r="855" ht="15.6" x14ac:dyDescent="0.3"/>
    <row r="856" ht="15.6" x14ac:dyDescent="0.3"/>
    <row r="857" ht="15.6" x14ac:dyDescent="0.3"/>
    <row r="858" ht="15.6" x14ac:dyDescent="0.3"/>
    <row r="859" ht="15.6" x14ac:dyDescent="0.3"/>
    <row r="860" ht="15.6" x14ac:dyDescent="0.3"/>
    <row r="861" ht="15.6" x14ac:dyDescent="0.3"/>
    <row r="862" ht="15.6" x14ac:dyDescent="0.3"/>
    <row r="863" ht="15.6" x14ac:dyDescent="0.3"/>
    <row r="864" ht="15.6" x14ac:dyDescent="0.3"/>
    <row r="865" ht="15.6" x14ac:dyDescent="0.3"/>
    <row r="866" ht="15.6" x14ac:dyDescent="0.3"/>
    <row r="867" ht="15.6" x14ac:dyDescent="0.3"/>
    <row r="868" ht="15.6" x14ac:dyDescent="0.3"/>
    <row r="869" ht="15.6" x14ac:dyDescent="0.3"/>
    <row r="870" ht="15.6" x14ac:dyDescent="0.3"/>
    <row r="871" ht="15.6" x14ac:dyDescent="0.3"/>
    <row r="872" ht="15.6" x14ac:dyDescent="0.3"/>
    <row r="873" ht="15.6" x14ac:dyDescent="0.3"/>
    <row r="874" ht="15.6" x14ac:dyDescent="0.3"/>
    <row r="875" ht="15.6" x14ac:dyDescent="0.3"/>
    <row r="876" ht="15.6" x14ac:dyDescent="0.3"/>
    <row r="877" ht="15.6" x14ac:dyDescent="0.3"/>
    <row r="878" ht="15.6" x14ac:dyDescent="0.3"/>
    <row r="879" ht="15.6" x14ac:dyDescent="0.3"/>
    <row r="880" ht="15.6" x14ac:dyDescent="0.3"/>
    <row r="881" ht="15.6" x14ac:dyDescent="0.3"/>
    <row r="882" ht="15.6" x14ac:dyDescent="0.3"/>
    <row r="883" ht="15.6" x14ac:dyDescent="0.3"/>
    <row r="884" ht="15.6" x14ac:dyDescent="0.3"/>
    <row r="885" ht="15.6" x14ac:dyDescent="0.3"/>
    <row r="886" ht="15.6" x14ac:dyDescent="0.3"/>
    <row r="887" ht="15.6" x14ac:dyDescent="0.3"/>
    <row r="888" ht="15.6" x14ac:dyDescent="0.3"/>
    <row r="889" ht="15.6" x14ac:dyDescent="0.3"/>
    <row r="890" ht="15.6" x14ac:dyDescent="0.3"/>
    <row r="891" ht="15.6" x14ac:dyDescent="0.3"/>
    <row r="892" ht="15.6" x14ac:dyDescent="0.3"/>
    <row r="893" ht="15.6" x14ac:dyDescent="0.3"/>
    <row r="894" ht="15.6" x14ac:dyDescent="0.3"/>
    <row r="895" ht="15.6" x14ac:dyDescent="0.3"/>
    <row r="896" ht="15.6" x14ac:dyDescent="0.3"/>
    <row r="897" ht="15.6" x14ac:dyDescent="0.3"/>
    <row r="898" ht="15.6" x14ac:dyDescent="0.3"/>
    <row r="899" ht="15.6" x14ac:dyDescent="0.3"/>
    <row r="900" ht="15.6" x14ac:dyDescent="0.3"/>
    <row r="901" ht="15.6" x14ac:dyDescent="0.3"/>
    <row r="902" ht="15.6" x14ac:dyDescent="0.3"/>
    <row r="903" ht="15.6" x14ac:dyDescent="0.3"/>
    <row r="904" ht="15.6" x14ac:dyDescent="0.3"/>
    <row r="905" ht="15.6" x14ac:dyDescent="0.3"/>
    <row r="906" ht="15.6" x14ac:dyDescent="0.3"/>
    <row r="907" ht="15.6" x14ac:dyDescent="0.3"/>
    <row r="908" ht="15.6" x14ac:dyDescent="0.3"/>
    <row r="909" ht="15.6" x14ac:dyDescent="0.3"/>
    <row r="910" ht="15.6" x14ac:dyDescent="0.3"/>
    <row r="911" ht="15.6" x14ac:dyDescent="0.3"/>
    <row r="912" ht="15.6" x14ac:dyDescent="0.3"/>
    <row r="913" ht="15.6" x14ac:dyDescent="0.3"/>
    <row r="914" ht="15.6" x14ac:dyDescent="0.3"/>
    <row r="915" ht="15.6" x14ac:dyDescent="0.3"/>
    <row r="916" ht="15.6" x14ac:dyDescent="0.3"/>
    <row r="917" ht="15.6" x14ac:dyDescent="0.3"/>
    <row r="918" ht="15.6" x14ac:dyDescent="0.3"/>
    <row r="919" ht="15.6" x14ac:dyDescent="0.3"/>
    <row r="920" ht="15.6" x14ac:dyDescent="0.3"/>
    <row r="921" ht="15.6" x14ac:dyDescent="0.3"/>
    <row r="922" ht="15.6" x14ac:dyDescent="0.3"/>
    <row r="923" ht="15.6" x14ac:dyDescent="0.3"/>
    <row r="924" ht="15.6" x14ac:dyDescent="0.3"/>
    <row r="925" ht="15.6" x14ac:dyDescent="0.3"/>
    <row r="926" ht="15.6" x14ac:dyDescent="0.3"/>
    <row r="927" ht="15.6" x14ac:dyDescent="0.3"/>
    <row r="928" ht="15.6" x14ac:dyDescent="0.3"/>
    <row r="929" ht="15.6" x14ac:dyDescent="0.3"/>
    <row r="930" ht="15.6" x14ac:dyDescent="0.3"/>
    <row r="931" ht="15.6" x14ac:dyDescent="0.3"/>
    <row r="932" ht="15.6" x14ac:dyDescent="0.3"/>
    <row r="933" ht="15.6" x14ac:dyDescent="0.3"/>
    <row r="934" ht="15.6" x14ac:dyDescent="0.3"/>
    <row r="935" ht="15.6" x14ac:dyDescent="0.3"/>
    <row r="936" ht="15.6" x14ac:dyDescent="0.3"/>
    <row r="937" ht="15.6" x14ac:dyDescent="0.3"/>
    <row r="938" ht="15.6" x14ac:dyDescent="0.3"/>
    <row r="939" ht="15.6" x14ac:dyDescent="0.3"/>
    <row r="940" ht="15.6" x14ac:dyDescent="0.3"/>
    <row r="941" ht="15.6" x14ac:dyDescent="0.3"/>
    <row r="942" ht="15.6" x14ac:dyDescent="0.3"/>
    <row r="943" ht="15.6" x14ac:dyDescent="0.3"/>
    <row r="944" ht="15.6" x14ac:dyDescent="0.3"/>
    <row r="945" ht="15.6" x14ac:dyDescent="0.3"/>
    <row r="946" ht="15.6" x14ac:dyDescent="0.3"/>
    <row r="947" ht="15.6" x14ac:dyDescent="0.3"/>
    <row r="948" ht="15.6" x14ac:dyDescent="0.3"/>
    <row r="949" ht="15.6" x14ac:dyDescent="0.3"/>
    <row r="950" ht="15.6" x14ac:dyDescent="0.3"/>
    <row r="951" ht="15.6" x14ac:dyDescent="0.3"/>
    <row r="952" ht="15.6" x14ac:dyDescent="0.3"/>
    <row r="953" ht="15.6" x14ac:dyDescent="0.3"/>
    <row r="954" ht="15.6" x14ac:dyDescent="0.3"/>
    <row r="955" ht="15.6" x14ac:dyDescent="0.3"/>
    <row r="956" ht="15.6" x14ac:dyDescent="0.3"/>
    <row r="957" ht="15.6" x14ac:dyDescent="0.3"/>
    <row r="958" ht="15.6" x14ac:dyDescent="0.3"/>
    <row r="959" ht="15.6" x14ac:dyDescent="0.3"/>
    <row r="960" ht="15.6" x14ac:dyDescent="0.3"/>
    <row r="961" ht="15.6" x14ac:dyDescent="0.3"/>
    <row r="962" ht="15.6" x14ac:dyDescent="0.3"/>
    <row r="963" ht="15.6" x14ac:dyDescent="0.3"/>
    <row r="964" ht="15.6" x14ac:dyDescent="0.3"/>
    <row r="965" ht="15.6" x14ac:dyDescent="0.3"/>
    <row r="966" ht="15.6" x14ac:dyDescent="0.3"/>
    <row r="967" ht="15.6" x14ac:dyDescent="0.3"/>
    <row r="968" ht="15.6" x14ac:dyDescent="0.3"/>
    <row r="969" ht="15.6" x14ac:dyDescent="0.3"/>
    <row r="970" ht="15.6" x14ac:dyDescent="0.3"/>
    <row r="971" ht="15.6" x14ac:dyDescent="0.3"/>
    <row r="972" ht="15.6" x14ac:dyDescent="0.3"/>
    <row r="973" ht="15.6" x14ac:dyDescent="0.3"/>
    <row r="974" ht="15.6" x14ac:dyDescent="0.3"/>
    <row r="975" ht="15.6" x14ac:dyDescent="0.3"/>
    <row r="976" ht="15.6" x14ac:dyDescent="0.3"/>
    <row r="977" ht="15.6" x14ac:dyDescent="0.3"/>
    <row r="978" ht="15.6" x14ac:dyDescent="0.3"/>
    <row r="979" ht="15.6" x14ac:dyDescent="0.3"/>
    <row r="980" ht="15.6" x14ac:dyDescent="0.3"/>
    <row r="981" ht="15.6" x14ac:dyDescent="0.3"/>
    <row r="982" ht="15.6" x14ac:dyDescent="0.3"/>
    <row r="983" ht="15.6" x14ac:dyDescent="0.3"/>
    <row r="984" ht="15.6" x14ac:dyDescent="0.3"/>
    <row r="985" ht="15.6" x14ac:dyDescent="0.3"/>
    <row r="986" ht="15.6" x14ac:dyDescent="0.3"/>
    <row r="987" ht="15.6" x14ac:dyDescent="0.3"/>
    <row r="988" ht="15.6" x14ac:dyDescent="0.3"/>
    <row r="989" ht="15.6" x14ac:dyDescent="0.3"/>
    <row r="990" ht="15.6" x14ac:dyDescent="0.3"/>
    <row r="991" ht="15.6" x14ac:dyDescent="0.3"/>
    <row r="992" ht="15.6" x14ac:dyDescent="0.3"/>
    <row r="993" ht="15.6" x14ac:dyDescent="0.3"/>
    <row r="994" ht="15.6" x14ac:dyDescent="0.3"/>
    <row r="995" ht="15.6" x14ac:dyDescent="0.3"/>
    <row r="996" ht="15.6" x14ac:dyDescent="0.3"/>
    <row r="997" ht="15.6" x14ac:dyDescent="0.3"/>
    <row r="998" ht="15.6" x14ac:dyDescent="0.3"/>
    <row r="999" ht="15.6" x14ac:dyDescent="0.3"/>
    <row r="1000" ht="15.6" x14ac:dyDescent="0.3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B1:M1000"/>
  <sheetViews>
    <sheetView showGridLines="0" zoomScaleNormal="10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Q74" sqref="Q74"/>
    </sheetView>
  </sheetViews>
  <sheetFormatPr defaultColWidth="14.44140625" defaultRowHeight="15" customHeight="1" x14ac:dyDescent="0.25"/>
  <cols>
    <col min="1" max="1" width="4.109375" style="15" customWidth="1"/>
    <col min="2" max="2" width="3.6640625" style="15" customWidth="1"/>
    <col min="3" max="3" width="3.5546875" style="15" customWidth="1"/>
    <col min="4" max="4" width="40.44140625" style="15" bestFit="1" customWidth="1"/>
    <col min="5" max="8" width="14.44140625" style="15"/>
    <col min="9" max="9" width="16.5546875" style="15" customWidth="1"/>
    <col min="10" max="12" width="15.88671875" style="15" customWidth="1"/>
    <col min="13" max="16384" width="14.44140625" style="15"/>
  </cols>
  <sheetData>
    <row r="1" spans="2:13" ht="13.8" x14ac:dyDescent="0.25"/>
    <row r="2" spans="2:13" ht="32.4" customHeight="1" x14ac:dyDescent="0.5">
      <c r="B2" s="44" t="str">
        <f>CompanyName</f>
        <v>Cronyx Mining Ltd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2:13" ht="20.399999999999999" x14ac:dyDescent="0.35">
      <c r="C3" s="28" t="s">
        <v>166</v>
      </c>
    </row>
    <row r="4" spans="2:13" ht="15.6" x14ac:dyDescent="0.3">
      <c r="D4" s="8"/>
      <c r="E4" s="8"/>
      <c r="F4" s="8"/>
      <c r="G4" s="8"/>
      <c r="H4" s="8"/>
      <c r="I4" s="8"/>
      <c r="J4" s="8"/>
      <c r="K4" s="8"/>
      <c r="L4" s="8"/>
    </row>
    <row r="5" spans="2:13" ht="15.6" x14ac:dyDescent="0.3">
      <c r="C5" s="8"/>
      <c r="D5" s="8"/>
      <c r="E5" s="8"/>
      <c r="F5" s="8"/>
      <c r="G5" s="8" t="s">
        <v>6</v>
      </c>
      <c r="H5" s="8"/>
      <c r="I5" s="6">
        <f t="shared" ref="I5:L5" si="0">H6+1</f>
        <v>46023</v>
      </c>
      <c r="J5" s="6">
        <f t="shared" si="0"/>
        <v>46388</v>
      </c>
      <c r="K5" s="6">
        <f t="shared" si="0"/>
        <v>46753</v>
      </c>
      <c r="L5" s="6">
        <f t="shared" si="0"/>
        <v>47119</v>
      </c>
    </row>
    <row r="6" spans="2:13" ht="15.6" x14ac:dyDescent="0.3">
      <c r="C6" s="8"/>
      <c r="D6" s="8"/>
      <c r="E6" s="8"/>
      <c r="F6" s="8"/>
      <c r="G6" s="8" t="s">
        <v>7</v>
      </c>
      <c r="H6" s="6">
        <f>Guide!E30-1</f>
        <v>46022</v>
      </c>
      <c r="I6" s="6">
        <f t="shared" ref="I6:L6" si="1">EDATE(H6,12)</f>
        <v>46387</v>
      </c>
      <c r="J6" s="6">
        <f t="shared" si="1"/>
        <v>46752</v>
      </c>
      <c r="K6" s="6">
        <f t="shared" si="1"/>
        <v>47118</v>
      </c>
      <c r="L6" s="6">
        <f t="shared" si="1"/>
        <v>47483</v>
      </c>
    </row>
    <row r="7" spans="2:13" ht="15.6" x14ac:dyDescent="0.3">
      <c r="C7" s="1"/>
      <c r="D7" s="1"/>
      <c r="E7" s="1"/>
      <c r="F7" s="1"/>
      <c r="G7" s="1"/>
      <c r="H7" s="1"/>
      <c r="I7" s="38">
        <f t="shared" ref="I7:L7" si="2">YEAR(I6)</f>
        <v>2026</v>
      </c>
      <c r="J7" s="38">
        <f t="shared" si="2"/>
        <v>2027</v>
      </c>
      <c r="K7" s="38">
        <f t="shared" si="2"/>
        <v>2028</v>
      </c>
      <c r="L7" s="38">
        <f t="shared" si="2"/>
        <v>2029</v>
      </c>
    </row>
    <row r="8" spans="2:13" s="45" customFormat="1" ht="13.8" x14ac:dyDescent="0.25">
      <c r="D8" s="45" t="s">
        <v>2</v>
      </c>
      <c r="E8" s="45" t="s">
        <v>181</v>
      </c>
      <c r="H8" s="45" t="s">
        <v>180</v>
      </c>
      <c r="I8" s="46" t="s">
        <v>5</v>
      </c>
      <c r="J8" s="46" t="s">
        <v>5</v>
      </c>
      <c r="K8" s="46" t="s">
        <v>5</v>
      </c>
      <c r="L8" s="46" t="s">
        <v>5</v>
      </c>
    </row>
    <row r="9" spans="2:13" ht="15.6" x14ac:dyDescent="0.3">
      <c r="C9" s="1"/>
      <c r="D9" s="47" t="s">
        <v>167</v>
      </c>
      <c r="E9" s="1"/>
      <c r="F9" s="1"/>
      <c r="G9" s="1"/>
      <c r="H9" s="1"/>
      <c r="I9" s="1"/>
      <c r="J9" s="1"/>
      <c r="K9" s="1"/>
      <c r="L9" s="1"/>
    </row>
    <row r="10" spans="2:13" ht="15.6" x14ac:dyDescent="0.3">
      <c r="C10" s="8"/>
      <c r="D10" s="8" t="s">
        <v>135</v>
      </c>
      <c r="E10" s="8"/>
      <c r="F10" s="8"/>
      <c r="G10" s="8"/>
      <c r="H10" s="39">
        <f>IS!H17</f>
        <v>52329126</v>
      </c>
      <c r="I10" s="40">
        <f>IS!I17</f>
        <v>1541674000</v>
      </c>
      <c r="J10" s="40">
        <f>IS!J17</f>
        <v>1329210000</v>
      </c>
      <c r="K10" s="40">
        <f>IS!K17</f>
        <v>1684125000</v>
      </c>
      <c r="L10" s="40">
        <f>IS!L17</f>
        <v>2127768750</v>
      </c>
    </row>
    <row r="11" spans="2:13" ht="15.6" x14ac:dyDescent="0.3">
      <c r="C11" s="1"/>
      <c r="D11" s="1" t="s">
        <v>168</v>
      </c>
      <c r="E11" s="1"/>
      <c r="F11" s="1"/>
      <c r="G11" s="1"/>
      <c r="H11" s="1"/>
      <c r="I11" s="1"/>
      <c r="J11" s="1"/>
      <c r="K11" s="1"/>
      <c r="L11" s="1"/>
    </row>
    <row r="12" spans="2:13" ht="15.6" x14ac:dyDescent="0.3">
      <c r="C12" s="1"/>
      <c r="D12" s="1" t="s">
        <v>113</v>
      </c>
      <c r="E12" s="1"/>
      <c r="F12" s="1"/>
      <c r="G12" s="1"/>
      <c r="H12" s="1"/>
      <c r="I12" s="13">
        <f>SOFP!H15-SOFP!I15</f>
        <v>-59292602.739726022</v>
      </c>
      <c r="J12" s="13">
        <f>SOFP!I15-SOFP!J15</f>
        <v>-99822465.753424659</v>
      </c>
      <c r="K12" s="13">
        <f>SOFP!J15-SOFP!K15</f>
        <v>-39778767.123287678</v>
      </c>
      <c r="L12" s="13">
        <f>SOFP!K15-SOFP!L15</f>
        <v>-49723458.904109567</v>
      </c>
    </row>
    <row r="13" spans="2:13" ht="15.6" x14ac:dyDescent="0.3">
      <c r="C13" s="1"/>
      <c r="D13" s="1" t="s">
        <v>114</v>
      </c>
      <c r="E13" s="1"/>
      <c r="F13" s="1"/>
      <c r="G13" s="1"/>
      <c r="H13" s="1"/>
      <c r="I13" s="13">
        <f>SOFP!H16-SOFP!I16</f>
        <v>-212153424.65753424</v>
      </c>
      <c r="J13" s="13">
        <f>SOFP!I16-SOFP!J16</f>
        <v>-53038356.16438356</v>
      </c>
      <c r="K13" s="13">
        <f>SOFP!J16-SOFP!K16</f>
        <v>-66297945.205479413</v>
      </c>
      <c r="L13" s="13">
        <f>SOFP!K16-SOFP!L16</f>
        <v>-82872431.506849349</v>
      </c>
    </row>
    <row r="14" spans="2:13" ht="16.2" thickBot="1" x14ac:dyDescent="0.35">
      <c r="C14" s="1"/>
      <c r="D14" s="1" t="s">
        <v>116</v>
      </c>
      <c r="E14" s="1"/>
      <c r="F14" s="1"/>
      <c r="G14" s="1"/>
      <c r="H14" s="1"/>
      <c r="I14" s="12">
        <f>SOFP!I27-SOFP!H27</f>
        <v>29646301.369863011</v>
      </c>
      <c r="J14" s="12">
        <f>SOFP!J27-SOFP!I27</f>
        <v>49911232.87671233</v>
      </c>
      <c r="K14" s="12">
        <f>SOFP!K27-SOFP!J27</f>
        <v>19889383.561643839</v>
      </c>
      <c r="L14" s="12">
        <f>SOFP!L27-SOFP!K27</f>
        <v>24861729.452054784</v>
      </c>
    </row>
    <row r="15" spans="2:13" ht="15.6" x14ac:dyDescent="0.3">
      <c r="C15" s="8"/>
      <c r="D15" s="26" t="s">
        <v>169</v>
      </c>
      <c r="E15" s="26"/>
      <c r="F15" s="26"/>
      <c r="G15" s="26"/>
      <c r="H15" s="26"/>
      <c r="I15" s="26">
        <f t="shared" ref="I15:L15" si="3">SUM(I12:I14)</f>
        <v>-241799726.02739725</v>
      </c>
      <c r="J15" s="26">
        <f t="shared" si="3"/>
        <v>-102949589.04109591</v>
      </c>
      <c r="K15" s="26">
        <f t="shared" si="3"/>
        <v>-86187328.767123252</v>
      </c>
      <c r="L15" s="26">
        <f t="shared" si="3"/>
        <v>-107734160.95890413</v>
      </c>
    </row>
    <row r="16" spans="2:13" ht="13.8" x14ac:dyDescent="0.25"/>
    <row r="17" spans="4:12" ht="15.6" x14ac:dyDescent="0.3">
      <c r="D17" s="1" t="s">
        <v>141</v>
      </c>
      <c r="E17" s="1"/>
      <c r="F17" s="1"/>
      <c r="G17" s="1"/>
      <c r="H17" s="13">
        <f>IS!H24</f>
        <v>-6800000</v>
      </c>
      <c r="I17" s="13">
        <f>IS!I24</f>
        <v>-339549159.99999994</v>
      </c>
      <c r="J17" s="13">
        <f>IS!J24</f>
        <v>-284702604.60752213</v>
      </c>
      <c r="K17" s="13">
        <f>IS!K24</f>
        <v>-428504006.73552674</v>
      </c>
      <c r="L17" s="13">
        <f>IS!L24</f>
        <v>-610106183.56577277</v>
      </c>
    </row>
    <row r="18" spans="4:12" ht="15.6" x14ac:dyDescent="0.3">
      <c r="D18" s="1"/>
      <c r="E18" s="1"/>
      <c r="F18" s="1"/>
      <c r="G18" s="1"/>
      <c r="H18" s="1"/>
      <c r="I18" s="1"/>
      <c r="J18" s="1"/>
      <c r="K18" s="1"/>
      <c r="L18" s="1"/>
    </row>
    <row r="19" spans="4:12" ht="16.2" thickBot="1" x14ac:dyDescent="0.35">
      <c r="D19" s="30" t="s">
        <v>170</v>
      </c>
      <c r="E19" s="30"/>
      <c r="F19" s="30"/>
      <c r="G19" s="30"/>
      <c r="H19" s="30">
        <f t="shared" ref="H19:L19" si="4">H10+H15+H17</f>
        <v>45529126</v>
      </c>
      <c r="I19" s="30">
        <f t="shared" si="4"/>
        <v>960325113.97260284</v>
      </c>
      <c r="J19" s="30">
        <f t="shared" si="4"/>
        <v>941557806.3513819</v>
      </c>
      <c r="K19" s="30">
        <f t="shared" si="4"/>
        <v>1169433664.49735</v>
      </c>
      <c r="L19" s="30">
        <f t="shared" si="4"/>
        <v>1409928405.4753232</v>
      </c>
    </row>
    <row r="20" spans="4:12" ht="16.2" thickTop="1" x14ac:dyDescent="0.3">
      <c r="D20" s="1"/>
      <c r="E20" s="1"/>
      <c r="F20" s="1"/>
      <c r="G20" s="1"/>
      <c r="H20" s="1"/>
      <c r="I20" s="1"/>
      <c r="J20" s="1"/>
      <c r="K20" s="1"/>
      <c r="L20" s="1"/>
    </row>
    <row r="21" spans="4:12" ht="15.6" x14ac:dyDescent="0.3">
      <c r="D21" s="1"/>
      <c r="E21" s="1"/>
      <c r="F21" s="1"/>
      <c r="G21" s="1"/>
      <c r="H21" s="1"/>
      <c r="I21" s="1"/>
      <c r="J21" s="1"/>
      <c r="K21" s="1"/>
      <c r="L21" s="1"/>
    </row>
    <row r="22" spans="4:12" ht="15.6" x14ac:dyDescent="0.3">
      <c r="D22" s="47" t="s">
        <v>171</v>
      </c>
      <c r="E22" s="1"/>
      <c r="F22" s="1"/>
      <c r="G22" s="1"/>
      <c r="H22" s="1"/>
      <c r="I22" s="1"/>
      <c r="J22" s="1"/>
      <c r="K22" s="1"/>
      <c r="L22" s="1"/>
    </row>
    <row r="23" spans="4:12" ht="15.6" x14ac:dyDescent="0.3">
      <c r="D23" s="1" t="s">
        <v>95</v>
      </c>
      <c r="E23" s="1"/>
      <c r="F23" s="1"/>
      <c r="G23" s="1"/>
      <c r="H23" s="1"/>
      <c r="I23" s="13">
        <f>-Input!I111</f>
        <v>-1065000000</v>
      </c>
      <c r="J23" s="13">
        <f>-Input!J111</f>
        <v>0</v>
      </c>
      <c r="K23" s="13">
        <f>-Input!K111</f>
        <v>0</v>
      </c>
      <c r="L23" s="13">
        <f>-Input!L111</f>
        <v>0</v>
      </c>
    </row>
    <row r="24" spans="4:12" ht="15.6" x14ac:dyDescent="0.3">
      <c r="D24" s="1"/>
      <c r="E24" s="1"/>
      <c r="F24" s="1"/>
      <c r="G24" s="1"/>
      <c r="H24" s="1"/>
      <c r="I24" s="1"/>
      <c r="J24" s="1"/>
      <c r="K24" s="1"/>
      <c r="L24" s="1"/>
    </row>
    <row r="25" spans="4:12" s="48" customFormat="1" ht="16.2" thickBot="1" x14ac:dyDescent="0.35">
      <c r="D25" s="30" t="s">
        <v>172</v>
      </c>
      <c r="E25" s="30"/>
      <c r="F25" s="30"/>
      <c r="G25" s="30"/>
      <c r="H25" s="30"/>
      <c r="I25" s="30">
        <f t="shared" ref="I25:L25" si="5">I23</f>
        <v>-1065000000</v>
      </c>
      <c r="J25" s="30">
        <f t="shared" si="5"/>
        <v>0</v>
      </c>
      <c r="K25" s="30">
        <f t="shared" si="5"/>
        <v>0</v>
      </c>
      <c r="L25" s="30">
        <f t="shared" si="5"/>
        <v>0</v>
      </c>
    </row>
    <row r="26" spans="4:12" ht="16.2" thickTop="1" x14ac:dyDescent="0.3">
      <c r="D26" s="1"/>
      <c r="E26" s="1"/>
      <c r="F26" s="1"/>
      <c r="G26" s="1"/>
      <c r="H26" s="1"/>
      <c r="I26" s="1"/>
      <c r="J26" s="1"/>
      <c r="K26" s="1"/>
      <c r="L26" s="1"/>
    </row>
    <row r="27" spans="4:12" ht="15.6" x14ac:dyDescent="0.3">
      <c r="D27" s="1"/>
      <c r="E27" s="1"/>
      <c r="F27" s="1"/>
      <c r="G27" s="1"/>
      <c r="H27" s="1"/>
      <c r="I27" s="1"/>
      <c r="J27" s="1"/>
      <c r="K27" s="1"/>
      <c r="L27" s="1"/>
    </row>
    <row r="28" spans="4:12" ht="15.6" x14ac:dyDescent="0.3">
      <c r="D28" s="47" t="s">
        <v>173</v>
      </c>
      <c r="E28" s="1"/>
      <c r="F28" s="1"/>
      <c r="G28" s="1"/>
      <c r="H28" s="1"/>
      <c r="I28" s="1"/>
      <c r="J28" s="1"/>
      <c r="K28" s="1"/>
      <c r="L28" s="1"/>
    </row>
    <row r="29" spans="4:12" ht="15.6" x14ac:dyDescent="0.3">
      <c r="D29" s="1" t="s">
        <v>174</v>
      </c>
      <c r="E29" s="1"/>
      <c r="F29" s="1"/>
      <c r="G29" s="1"/>
      <c r="H29" s="1"/>
      <c r="I29" s="13">
        <f>Input!E139</f>
        <v>65000000</v>
      </c>
      <c r="J29" s="13">
        <f>Input!F139</f>
        <v>0</v>
      </c>
      <c r="K29" s="13">
        <f>Input!G139</f>
        <v>0</v>
      </c>
      <c r="L29" s="13">
        <f>Input!H139</f>
        <v>0</v>
      </c>
    </row>
    <row r="30" spans="4:12" ht="15.6" x14ac:dyDescent="0.3">
      <c r="D30" s="1" t="s">
        <v>156</v>
      </c>
      <c r="E30" s="1"/>
      <c r="F30" s="1"/>
      <c r="G30" s="1"/>
      <c r="H30" s="1"/>
      <c r="I30" s="13">
        <f>Input!E140</f>
        <v>1000000000</v>
      </c>
      <c r="J30" s="13">
        <f>Input!F140</f>
        <v>0</v>
      </c>
      <c r="K30" s="13">
        <f>Input!G140</f>
        <v>0</v>
      </c>
      <c r="L30" s="13">
        <f>Input!H140</f>
        <v>0</v>
      </c>
    </row>
    <row r="31" spans="4:12" ht="15.6" x14ac:dyDescent="0.3">
      <c r="D31" s="1" t="s">
        <v>128</v>
      </c>
      <c r="E31" s="1"/>
      <c r="F31" s="1"/>
      <c r="G31" s="1"/>
      <c r="H31" s="1"/>
      <c r="I31" s="13">
        <f>-Input!I152</f>
        <v>-155001823.59645456</v>
      </c>
      <c r="J31" s="13">
        <f>-Input!J152</f>
        <v>-206152425.38328457</v>
      </c>
      <c r="K31" s="13">
        <f>-Input!K152</f>
        <v>-274182725.75976849</v>
      </c>
      <c r="L31" s="13">
        <f>-Input!L152</f>
        <v>-364663025.26049215</v>
      </c>
    </row>
    <row r="32" spans="4:12" ht="15.6" x14ac:dyDescent="0.3">
      <c r="D32" s="1" t="s">
        <v>129</v>
      </c>
      <c r="E32" s="1"/>
      <c r="F32" s="1"/>
      <c r="G32" s="1"/>
      <c r="H32" s="1"/>
      <c r="I32" s="13">
        <f>-Input!I153</f>
        <v>-330000000</v>
      </c>
      <c r="J32" s="13">
        <f>-Input!J153</f>
        <v>-278849398.21316999</v>
      </c>
      <c r="K32" s="13">
        <f>-Input!K153</f>
        <v>-210819097.83668599</v>
      </c>
      <c r="L32" s="13">
        <f>-Input!L153</f>
        <v>-120338798.33596241</v>
      </c>
    </row>
    <row r="33" spans="4:12" ht="15.6" x14ac:dyDescent="0.3">
      <c r="D33" s="1" t="s">
        <v>146</v>
      </c>
      <c r="E33" s="1"/>
      <c r="F33" s="1"/>
      <c r="G33" s="1"/>
      <c r="H33" s="12">
        <f>-IS!H31</f>
        <v>0</v>
      </c>
      <c r="I33" s="13">
        <f>-IS!I31</f>
        <v>-131824968</v>
      </c>
      <c r="J33" s="13">
        <f>-IS!J31</f>
        <v>-110531599.43586157</v>
      </c>
      <c r="K33" s="13">
        <f>-IS!K31</f>
        <v>-166360379.08555746</v>
      </c>
      <c r="L33" s="13">
        <f>-IS!L31</f>
        <v>-236864753.61965299</v>
      </c>
    </row>
    <row r="34" spans="4:12" ht="15.6" x14ac:dyDescent="0.3">
      <c r="D34" s="1"/>
      <c r="E34" s="1"/>
      <c r="F34" s="1"/>
      <c r="G34" s="1"/>
      <c r="H34" s="1"/>
      <c r="I34" s="13"/>
      <c r="J34" s="13"/>
      <c r="K34" s="13"/>
      <c r="L34" s="13"/>
    </row>
    <row r="35" spans="4:12" ht="16.2" thickBot="1" x14ac:dyDescent="0.35">
      <c r="D35" s="30" t="s">
        <v>175</v>
      </c>
      <c r="E35" s="30"/>
      <c r="F35" s="30"/>
      <c r="G35" s="30"/>
      <c r="H35" s="30">
        <f t="shared" ref="H35:L35" si="6">SUM(H29:H33)</f>
        <v>0</v>
      </c>
      <c r="I35" s="30">
        <f t="shared" si="6"/>
        <v>448173208.40354538</v>
      </c>
      <c r="J35" s="30">
        <f t="shared" si="6"/>
        <v>-595533423.03231609</v>
      </c>
      <c r="K35" s="30">
        <f t="shared" si="6"/>
        <v>-651362202.68201196</v>
      </c>
      <c r="L35" s="30">
        <f t="shared" si="6"/>
        <v>-721866577.21610761</v>
      </c>
    </row>
    <row r="36" spans="4:12" ht="16.2" thickTop="1" x14ac:dyDescent="0.3">
      <c r="D36" s="1"/>
      <c r="E36" s="1"/>
      <c r="F36" s="1"/>
      <c r="G36" s="1"/>
      <c r="H36" s="1"/>
      <c r="I36" s="1"/>
      <c r="J36" s="1"/>
      <c r="K36" s="1"/>
      <c r="L36" s="1"/>
    </row>
    <row r="37" spans="4:12" ht="16.2" thickBot="1" x14ac:dyDescent="0.35">
      <c r="D37" s="1"/>
      <c r="E37" s="1"/>
      <c r="F37" s="1"/>
      <c r="G37" s="1"/>
      <c r="H37" s="1"/>
      <c r="I37" s="1"/>
      <c r="J37" s="1"/>
      <c r="K37" s="1"/>
      <c r="L37" s="1"/>
    </row>
    <row r="38" spans="4:12" ht="15.6" x14ac:dyDescent="0.3">
      <c r="D38" s="43" t="s">
        <v>176</v>
      </c>
      <c r="E38" s="43"/>
      <c r="F38" s="43"/>
      <c r="G38" s="43"/>
      <c r="H38" s="43">
        <f t="shared" ref="H38:L38" si="7">H35+H25+H19</f>
        <v>45529126</v>
      </c>
      <c r="I38" s="43">
        <f t="shared" si="7"/>
        <v>343498322.37614822</v>
      </c>
      <c r="J38" s="43">
        <f t="shared" si="7"/>
        <v>346024383.31906581</v>
      </c>
      <c r="K38" s="43">
        <f t="shared" si="7"/>
        <v>518071461.81533802</v>
      </c>
      <c r="L38" s="43">
        <f t="shared" si="7"/>
        <v>688061828.25921559</v>
      </c>
    </row>
    <row r="39" spans="4:12" ht="15.6" x14ac:dyDescent="0.3">
      <c r="D39" s="1" t="s">
        <v>177</v>
      </c>
      <c r="E39" s="1"/>
      <c r="F39" s="1"/>
      <c r="G39" s="1"/>
      <c r="H39" s="41">
        <f t="shared" ref="H39:L39" si="8">G40</f>
        <v>0</v>
      </c>
      <c r="I39" s="42">
        <f t="shared" si="8"/>
        <v>45529126</v>
      </c>
      <c r="J39" s="42">
        <f t="shared" si="8"/>
        <v>389027448.37614822</v>
      </c>
      <c r="K39" s="42">
        <f t="shared" si="8"/>
        <v>735051831.69521403</v>
      </c>
      <c r="L39" s="42">
        <f t="shared" si="8"/>
        <v>1253123293.5105519</v>
      </c>
    </row>
    <row r="40" spans="4:12" ht="16.2" thickBot="1" x14ac:dyDescent="0.35">
      <c r="D40" s="30" t="s">
        <v>178</v>
      </c>
      <c r="E40" s="30"/>
      <c r="F40" s="30"/>
      <c r="G40" s="30"/>
      <c r="H40" s="30">
        <f t="shared" ref="H40:L40" si="9">SUM(H38:H39)</f>
        <v>45529126</v>
      </c>
      <c r="I40" s="30">
        <f t="shared" si="9"/>
        <v>389027448.37614822</v>
      </c>
      <c r="J40" s="30">
        <f t="shared" si="9"/>
        <v>735051831.69521403</v>
      </c>
      <c r="K40" s="30">
        <f t="shared" si="9"/>
        <v>1253123293.5105519</v>
      </c>
      <c r="L40" s="30">
        <f t="shared" si="9"/>
        <v>1941185121.7697675</v>
      </c>
    </row>
    <row r="41" spans="4:12" ht="14.4" thickTop="1" x14ac:dyDescent="0.25"/>
    <row r="42" spans="4:12" ht="13.8" x14ac:dyDescent="0.25"/>
    <row r="43" spans="4:12" ht="13.8" x14ac:dyDescent="0.25"/>
    <row r="44" spans="4:12" ht="13.8" x14ac:dyDescent="0.25"/>
    <row r="45" spans="4:12" ht="13.8" x14ac:dyDescent="0.25"/>
    <row r="46" spans="4:12" ht="13.8" x14ac:dyDescent="0.25"/>
    <row r="47" spans="4:12" ht="13.8" x14ac:dyDescent="0.25"/>
    <row r="48" spans="4:12" ht="13.8" x14ac:dyDescent="0.25"/>
    <row r="49" s="15" customFormat="1" ht="13.8" x14ac:dyDescent="0.25"/>
    <row r="50" s="15" customFormat="1" ht="13.8" x14ac:dyDescent="0.25"/>
    <row r="51" s="15" customFormat="1" ht="13.8" x14ac:dyDescent="0.25"/>
    <row r="52" s="15" customFormat="1" ht="13.8" x14ac:dyDescent="0.25"/>
    <row r="53" s="15" customFormat="1" ht="13.8" x14ac:dyDescent="0.25"/>
    <row r="54" s="15" customFormat="1" ht="13.8" x14ac:dyDescent="0.25"/>
    <row r="55" s="15" customFormat="1" ht="13.8" x14ac:dyDescent="0.25"/>
    <row r="56" s="15" customFormat="1" ht="13.8" x14ac:dyDescent="0.25"/>
    <row r="57" s="15" customFormat="1" ht="13.8" x14ac:dyDescent="0.25"/>
    <row r="58" s="15" customFormat="1" ht="13.8" x14ac:dyDescent="0.25"/>
    <row r="59" s="15" customFormat="1" ht="13.8" x14ac:dyDescent="0.25"/>
    <row r="60" s="15" customFormat="1" ht="13.8" x14ac:dyDescent="0.25"/>
    <row r="61" s="15" customFormat="1" ht="13.8" x14ac:dyDescent="0.25"/>
    <row r="62" s="15" customFormat="1" ht="13.8" x14ac:dyDescent="0.25"/>
    <row r="63" s="15" customFormat="1" ht="13.8" x14ac:dyDescent="0.25"/>
    <row r="64" s="15" customFormat="1" ht="13.8" x14ac:dyDescent="0.25"/>
    <row r="65" s="15" customFormat="1" ht="13.8" x14ac:dyDescent="0.25"/>
    <row r="66" s="15" customFormat="1" ht="13.8" x14ac:dyDescent="0.25"/>
    <row r="67" s="15" customFormat="1" ht="13.8" x14ac:dyDescent="0.25"/>
    <row r="68" s="15" customFormat="1" ht="13.8" x14ac:dyDescent="0.25"/>
    <row r="69" s="15" customFormat="1" ht="13.8" x14ac:dyDescent="0.25"/>
    <row r="70" s="15" customFormat="1" ht="13.8" x14ac:dyDescent="0.25"/>
    <row r="71" s="15" customFormat="1" ht="13.8" x14ac:dyDescent="0.25"/>
    <row r="72" s="15" customFormat="1" ht="13.8" x14ac:dyDescent="0.25"/>
    <row r="73" s="15" customFormat="1" ht="13.8" x14ac:dyDescent="0.25"/>
    <row r="74" s="15" customFormat="1" ht="13.8" x14ac:dyDescent="0.25"/>
    <row r="75" s="15" customFormat="1" ht="13.8" x14ac:dyDescent="0.25"/>
    <row r="76" s="15" customFormat="1" ht="13.8" x14ac:dyDescent="0.25"/>
    <row r="77" s="15" customFormat="1" ht="13.8" x14ac:dyDescent="0.25"/>
    <row r="78" s="15" customFormat="1" ht="13.8" x14ac:dyDescent="0.25"/>
    <row r="79" s="15" customFormat="1" ht="13.8" x14ac:dyDescent="0.25"/>
    <row r="80" s="15" customFormat="1" ht="13.8" x14ac:dyDescent="0.25"/>
    <row r="81" s="15" customFormat="1" ht="13.8" x14ac:dyDescent="0.25"/>
    <row r="82" s="15" customFormat="1" ht="13.8" x14ac:dyDescent="0.25"/>
    <row r="83" s="15" customFormat="1" ht="13.8" x14ac:dyDescent="0.25"/>
    <row r="84" s="15" customFormat="1" ht="13.8" x14ac:dyDescent="0.25"/>
    <row r="85" s="15" customFormat="1" ht="13.8" x14ac:dyDescent="0.25"/>
    <row r="86" s="15" customFormat="1" ht="13.8" x14ac:dyDescent="0.25"/>
    <row r="87" s="15" customFormat="1" ht="13.8" x14ac:dyDescent="0.25"/>
    <row r="88" s="15" customFormat="1" ht="13.8" x14ac:dyDescent="0.25"/>
    <row r="89" s="15" customFormat="1" ht="13.8" x14ac:dyDescent="0.25"/>
    <row r="90" s="15" customFormat="1" ht="13.8" x14ac:dyDescent="0.25"/>
    <row r="91" s="15" customFormat="1" ht="13.8" x14ac:dyDescent="0.25"/>
    <row r="92" s="15" customFormat="1" ht="13.8" x14ac:dyDescent="0.25"/>
    <row r="93" s="15" customFormat="1" ht="13.8" x14ac:dyDescent="0.25"/>
    <row r="94" s="15" customFormat="1" ht="13.8" x14ac:dyDescent="0.25"/>
    <row r="95" s="15" customFormat="1" ht="13.8" x14ac:dyDescent="0.25"/>
    <row r="96" s="15" customFormat="1" ht="13.8" x14ac:dyDescent="0.25"/>
    <row r="97" s="15" customFormat="1" ht="13.8" x14ac:dyDescent="0.25"/>
    <row r="98" s="15" customFormat="1" ht="13.8" x14ac:dyDescent="0.25"/>
    <row r="99" s="15" customFormat="1" ht="13.8" x14ac:dyDescent="0.25"/>
    <row r="100" s="15" customFormat="1" ht="13.8" x14ac:dyDescent="0.25"/>
    <row r="101" s="15" customFormat="1" ht="13.8" x14ac:dyDescent="0.25"/>
    <row r="102" s="15" customFormat="1" ht="13.8" x14ac:dyDescent="0.25"/>
    <row r="103" s="15" customFormat="1" ht="13.8" x14ac:dyDescent="0.25"/>
    <row r="104" s="15" customFormat="1" ht="13.8" x14ac:dyDescent="0.25"/>
    <row r="105" s="15" customFormat="1" ht="13.8" x14ac:dyDescent="0.25"/>
    <row r="106" s="15" customFormat="1" ht="13.8" x14ac:dyDescent="0.25"/>
    <row r="107" s="15" customFormat="1" ht="13.8" x14ac:dyDescent="0.25"/>
    <row r="108" s="15" customFormat="1" ht="13.8" x14ac:dyDescent="0.25"/>
    <row r="109" s="15" customFormat="1" ht="13.8" x14ac:dyDescent="0.25"/>
    <row r="110" s="15" customFormat="1" ht="13.8" x14ac:dyDescent="0.25"/>
    <row r="111" s="15" customFormat="1" ht="13.8" x14ac:dyDescent="0.25"/>
    <row r="112" s="15" customFormat="1" ht="13.8" x14ac:dyDescent="0.25"/>
    <row r="113" s="15" customFormat="1" ht="13.8" x14ac:dyDescent="0.25"/>
    <row r="114" s="15" customFormat="1" ht="13.8" x14ac:dyDescent="0.25"/>
    <row r="115" s="15" customFormat="1" ht="13.8" x14ac:dyDescent="0.25"/>
    <row r="116" s="15" customFormat="1" ht="13.8" x14ac:dyDescent="0.25"/>
    <row r="117" s="15" customFormat="1" ht="13.8" x14ac:dyDescent="0.25"/>
    <row r="118" s="15" customFormat="1" ht="13.8" x14ac:dyDescent="0.25"/>
    <row r="119" s="15" customFormat="1" ht="13.8" x14ac:dyDescent="0.25"/>
    <row r="120" s="15" customFormat="1" ht="13.8" x14ac:dyDescent="0.25"/>
    <row r="121" s="15" customFormat="1" ht="13.8" x14ac:dyDescent="0.25"/>
    <row r="122" s="15" customFormat="1" ht="13.8" x14ac:dyDescent="0.25"/>
    <row r="123" s="15" customFormat="1" ht="13.8" x14ac:dyDescent="0.25"/>
    <row r="124" s="15" customFormat="1" ht="13.8" x14ac:dyDescent="0.25"/>
    <row r="125" s="15" customFormat="1" ht="13.8" x14ac:dyDescent="0.25"/>
    <row r="126" s="15" customFormat="1" ht="13.8" x14ac:dyDescent="0.25"/>
    <row r="127" s="15" customFormat="1" ht="13.8" x14ac:dyDescent="0.25"/>
    <row r="128" s="15" customFormat="1" ht="13.8" x14ac:dyDescent="0.25"/>
    <row r="129" s="15" customFormat="1" ht="13.8" x14ac:dyDescent="0.25"/>
    <row r="130" s="15" customFormat="1" ht="13.8" x14ac:dyDescent="0.25"/>
    <row r="131" s="15" customFormat="1" ht="13.8" x14ac:dyDescent="0.25"/>
    <row r="132" s="15" customFormat="1" ht="13.8" x14ac:dyDescent="0.25"/>
    <row r="133" s="15" customFormat="1" ht="13.8" x14ac:dyDescent="0.25"/>
    <row r="134" s="15" customFormat="1" ht="13.8" x14ac:dyDescent="0.25"/>
    <row r="135" s="15" customFormat="1" ht="13.8" x14ac:dyDescent="0.25"/>
    <row r="136" s="15" customFormat="1" ht="13.8" x14ac:dyDescent="0.25"/>
    <row r="137" s="15" customFormat="1" ht="13.8" x14ac:dyDescent="0.25"/>
    <row r="138" s="15" customFormat="1" ht="13.8" x14ac:dyDescent="0.25"/>
    <row r="139" s="15" customFormat="1" ht="13.8" x14ac:dyDescent="0.25"/>
    <row r="140" s="15" customFormat="1" ht="13.8" x14ac:dyDescent="0.25"/>
    <row r="141" s="15" customFormat="1" ht="13.8" x14ac:dyDescent="0.25"/>
    <row r="142" s="15" customFormat="1" ht="13.8" x14ac:dyDescent="0.25"/>
    <row r="143" s="15" customFormat="1" ht="13.8" x14ac:dyDescent="0.25"/>
    <row r="144" s="15" customFormat="1" ht="13.8" x14ac:dyDescent="0.25"/>
    <row r="145" s="15" customFormat="1" ht="13.8" x14ac:dyDescent="0.25"/>
    <row r="146" s="15" customFormat="1" ht="13.8" x14ac:dyDescent="0.25"/>
    <row r="147" s="15" customFormat="1" ht="13.8" x14ac:dyDescent="0.25"/>
    <row r="148" s="15" customFormat="1" ht="13.8" x14ac:dyDescent="0.25"/>
    <row r="149" s="15" customFormat="1" ht="13.8" x14ac:dyDescent="0.25"/>
    <row r="150" s="15" customFormat="1" ht="13.8" x14ac:dyDescent="0.25"/>
    <row r="151" s="15" customFormat="1" ht="13.8" x14ac:dyDescent="0.25"/>
    <row r="152" s="15" customFormat="1" ht="13.8" x14ac:dyDescent="0.25"/>
    <row r="153" s="15" customFormat="1" ht="13.8" x14ac:dyDescent="0.25"/>
    <row r="154" s="15" customFormat="1" ht="13.8" x14ac:dyDescent="0.25"/>
    <row r="155" s="15" customFormat="1" ht="13.8" x14ac:dyDescent="0.25"/>
    <row r="156" s="15" customFormat="1" ht="13.8" x14ac:dyDescent="0.25"/>
    <row r="157" s="15" customFormat="1" ht="13.8" x14ac:dyDescent="0.25"/>
    <row r="158" s="15" customFormat="1" ht="13.8" x14ac:dyDescent="0.25"/>
    <row r="159" s="15" customFormat="1" ht="13.8" x14ac:dyDescent="0.25"/>
    <row r="160" s="15" customFormat="1" ht="13.8" x14ac:dyDescent="0.25"/>
    <row r="161" s="15" customFormat="1" ht="13.8" x14ac:dyDescent="0.25"/>
    <row r="162" s="15" customFormat="1" ht="13.8" x14ac:dyDescent="0.25"/>
    <row r="163" s="15" customFormat="1" ht="13.8" x14ac:dyDescent="0.25"/>
    <row r="164" s="15" customFormat="1" ht="13.8" x14ac:dyDescent="0.25"/>
    <row r="165" s="15" customFormat="1" ht="13.8" x14ac:dyDescent="0.25"/>
    <row r="166" s="15" customFormat="1" ht="13.8" x14ac:dyDescent="0.25"/>
    <row r="167" s="15" customFormat="1" ht="13.8" x14ac:dyDescent="0.25"/>
    <row r="168" s="15" customFormat="1" ht="13.8" x14ac:dyDescent="0.25"/>
    <row r="169" s="15" customFormat="1" ht="13.8" x14ac:dyDescent="0.25"/>
    <row r="170" s="15" customFormat="1" ht="13.8" x14ac:dyDescent="0.25"/>
    <row r="171" s="15" customFormat="1" ht="13.8" x14ac:dyDescent="0.25"/>
    <row r="172" s="15" customFormat="1" ht="13.8" x14ac:dyDescent="0.25"/>
    <row r="173" s="15" customFormat="1" ht="13.8" x14ac:dyDescent="0.25"/>
    <row r="174" s="15" customFormat="1" ht="13.8" x14ac:dyDescent="0.25"/>
    <row r="175" s="15" customFormat="1" ht="13.8" x14ac:dyDescent="0.25"/>
    <row r="176" s="15" customFormat="1" ht="13.8" x14ac:dyDescent="0.25"/>
    <row r="177" s="15" customFormat="1" ht="13.8" x14ac:dyDescent="0.25"/>
    <row r="178" s="15" customFormat="1" ht="13.8" x14ac:dyDescent="0.25"/>
    <row r="179" s="15" customFormat="1" ht="13.8" x14ac:dyDescent="0.25"/>
    <row r="180" s="15" customFormat="1" ht="13.8" x14ac:dyDescent="0.25"/>
    <row r="181" s="15" customFormat="1" ht="13.8" x14ac:dyDescent="0.25"/>
    <row r="182" s="15" customFormat="1" ht="13.8" x14ac:dyDescent="0.25"/>
    <row r="183" s="15" customFormat="1" ht="13.8" x14ac:dyDescent="0.25"/>
    <row r="184" s="15" customFormat="1" ht="13.8" x14ac:dyDescent="0.25"/>
    <row r="185" s="15" customFormat="1" ht="13.8" x14ac:dyDescent="0.25"/>
    <row r="186" s="15" customFormat="1" ht="13.8" x14ac:dyDescent="0.25"/>
    <row r="187" s="15" customFormat="1" ht="13.8" x14ac:dyDescent="0.25"/>
    <row r="188" s="15" customFormat="1" ht="13.8" x14ac:dyDescent="0.25"/>
    <row r="189" s="15" customFormat="1" ht="13.8" x14ac:dyDescent="0.25"/>
    <row r="190" s="15" customFormat="1" ht="13.8" x14ac:dyDescent="0.25"/>
    <row r="191" s="15" customFormat="1" ht="13.8" x14ac:dyDescent="0.25"/>
    <row r="192" s="15" customFormat="1" ht="13.8" x14ac:dyDescent="0.25"/>
    <row r="193" s="15" customFormat="1" ht="13.8" x14ac:dyDescent="0.25"/>
    <row r="194" s="15" customFormat="1" ht="13.8" x14ac:dyDescent="0.25"/>
    <row r="195" s="15" customFormat="1" ht="13.8" x14ac:dyDescent="0.25"/>
    <row r="196" s="15" customFormat="1" ht="13.8" x14ac:dyDescent="0.25"/>
    <row r="197" s="15" customFormat="1" ht="13.8" x14ac:dyDescent="0.25"/>
    <row r="198" s="15" customFormat="1" ht="13.8" x14ac:dyDescent="0.25"/>
    <row r="199" s="15" customFormat="1" ht="13.8" x14ac:dyDescent="0.25"/>
    <row r="200" s="15" customFormat="1" ht="13.8" x14ac:dyDescent="0.25"/>
    <row r="201" s="15" customFormat="1" ht="13.8" x14ac:dyDescent="0.25"/>
    <row r="202" s="15" customFormat="1" ht="13.8" x14ac:dyDescent="0.25"/>
    <row r="203" s="15" customFormat="1" ht="13.8" x14ac:dyDescent="0.25"/>
    <row r="204" s="15" customFormat="1" ht="13.8" x14ac:dyDescent="0.25"/>
    <row r="205" s="15" customFormat="1" ht="13.8" x14ac:dyDescent="0.25"/>
    <row r="206" s="15" customFormat="1" ht="13.8" x14ac:dyDescent="0.25"/>
    <row r="207" s="15" customFormat="1" ht="13.8" x14ac:dyDescent="0.25"/>
    <row r="208" s="15" customFormat="1" ht="13.8" x14ac:dyDescent="0.25"/>
    <row r="209" s="15" customFormat="1" ht="13.8" x14ac:dyDescent="0.25"/>
    <row r="210" s="15" customFormat="1" ht="13.8" x14ac:dyDescent="0.25"/>
    <row r="211" s="15" customFormat="1" ht="13.8" x14ac:dyDescent="0.25"/>
    <row r="212" s="15" customFormat="1" ht="13.8" x14ac:dyDescent="0.25"/>
    <row r="213" s="15" customFormat="1" ht="13.8" x14ac:dyDescent="0.25"/>
    <row r="214" s="15" customFormat="1" ht="13.8" x14ac:dyDescent="0.25"/>
    <row r="215" s="15" customFormat="1" ht="13.8" x14ac:dyDescent="0.25"/>
    <row r="216" s="15" customFormat="1" ht="13.8" x14ac:dyDescent="0.25"/>
    <row r="217" s="15" customFormat="1" ht="13.8" x14ac:dyDescent="0.25"/>
    <row r="218" s="15" customFormat="1" ht="13.8" x14ac:dyDescent="0.25"/>
    <row r="219" s="15" customFormat="1" ht="13.8" x14ac:dyDescent="0.25"/>
    <row r="220" s="15" customFormat="1" ht="13.8" x14ac:dyDescent="0.25"/>
    <row r="221" s="15" customFormat="1" ht="13.8" x14ac:dyDescent="0.25"/>
    <row r="222" s="15" customFormat="1" ht="13.8" x14ac:dyDescent="0.25"/>
    <row r="223" s="15" customFormat="1" ht="13.8" x14ac:dyDescent="0.25"/>
    <row r="224" s="15" customFormat="1" ht="13.8" x14ac:dyDescent="0.25"/>
    <row r="225" s="15" customFormat="1" ht="13.8" x14ac:dyDescent="0.25"/>
    <row r="226" s="15" customFormat="1" ht="13.8" x14ac:dyDescent="0.25"/>
    <row r="227" s="15" customFormat="1" ht="13.8" x14ac:dyDescent="0.25"/>
    <row r="228" s="15" customFormat="1" ht="13.8" x14ac:dyDescent="0.25"/>
    <row r="229" s="15" customFormat="1" ht="13.8" x14ac:dyDescent="0.25"/>
    <row r="230" s="15" customFormat="1" ht="13.8" x14ac:dyDescent="0.25"/>
    <row r="231" s="15" customFormat="1" ht="13.8" x14ac:dyDescent="0.25"/>
    <row r="232" s="15" customFormat="1" ht="13.8" x14ac:dyDescent="0.25"/>
    <row r="233" s="15" customFormat="1" ht="13.8" x14ac:dyDescent="0.25"/>
    <row r="234" s="15" customFormat="1" ht="13.8" x14ac:dyDescent="0.25"/>
    <row r="235" s="15" customFormat="1" ht="13.8" x14ac:dyDescent="0.25"/>
    <row r="236" s="15" customFormat="1" ht="13.8" x14ac:dyDescent="0.25"/>
    <row r="237" s="15" customFormat="1" ht="13.8" x14ac:dyDescent="0.25"/>
    <row r="238" s="15" customFormat="1" ht="13.8" x14ac:dyDescent="0.25"/>
    <row r="239" s="15" customFormat="1" ht="13.8" x14ac:dyDescent="0.25"/>
    <row r="240" s="15" customFormat="1" ht="13.8" x14ac:dyDescent="0.25"/>
    <row r="241" s="15" customFormat="1" ht="13.8" x14ac:dyDescent="0.25"/>
    <row r="242" s="15" customFormat="1" ht="13.8" x14ac:dyDescent="0.25"/>
    <row r="243" s="15" customFormat="1" ht="13.8" x14ac:dyDescent="0.25"/>
    <row r="244" s="15" customFormat="1" ht="13.8" x14ac:dyDescent="0.25"/>
    <row r="245" s="15" customFormat="1" ht="13.8" x14ac:dyDescent="0.25"/>
    <row r="246" s="15" customFormat="1" ht="13.8" x14ac:dyDescent="0.25"/>
    <row r="247" s="15" customFormat="1" ht="13.8" x14ac:dyDescent="0.25"/>
    <row r="248" s="15" customFormat="1" ht="13.8" x14ac:dyDescent="0.25"/>
    <row r="249" s="15" customFormat="1" ht="13.8" x14ac:dyDescent="0.25"/>
    <row r="250" s="15" customFormat="1" ht="13.8" x14ac:dyDescent="0.25"/>
    <row r="251" s="15" customFormat="1" ht="13.8" x14ac:dyDescent="0.25"/>
    <row r="252" s="15" customFormat="1" ht="13.8" x14ac:dyDescent="0.25"/>
    <row r="253" s="15" customFormat="1" ht="13.8" x14ac:dyDescent="0.25"/>
    <row r="254" s="15" customFormat="1" ht="13.8" x14ac:dyDescent="0.25"/>
    <row r="255" s="15" customFormat="1" ht="13.8" x14ac:dyDescent="0.25"/>
    <row r="256" s="15" customFormat="1" ht="13.8" x14ac:dyDescent="0.25"/>
    <row r="257" s="15" customFormat="1" ht="13.8" x14ac:dyDescent="0.25"/>
    <row r="258" s="15" customFormat="1" ht="13.8" x14ac:dyDescent="0.25"/>
    <row r="259" s="15" customFormat="1" ht="13.8" x14ac:dyDescent="0.25"/>
    <row r="260" s="15" customFormat="1" ht="13.8" x14ac:dyDescent="0.25"/>
    <row r="261" s="15" customFormat="1" ht="13.8" x14ac:dyDescent="0.25"/>
    <row r="262" s="15" customFormat="1" ht="13.8" x14ac:dyDescent="0.25"/>
    <row r="263" s="15" customFormat="1" ht="13.8" x14ac:dyDescent="0.25"/>
    <row r="264" s="15" customFormat="1" ht="13.8" x14ac:dyDescent="0.25"/>
    <row r="265" s="15" customFormat="1" ht="13.8" x14ac:dyDescent="0.25"/>
    <row r="266" s="15" customFormat="1" ht="13.8" x14ac:dyDescent="0.25"/>
    <row r="267" s="15" customFormat="1" ht="13.8" x14ac:dyDescent="0.25"/>
    <row r="268" s="15" customFormat="1" ht="13.8" x14ac:dyDescent="0.25"/>
    <row r="269" s="15" customFormat="1" ht="13.8" x14ac:dyDescent="0.25"/>
    <row r="270" s="15" customFormat="1" ht="13.8" x14ac:dyDescent="0.25"/>
    <row r="271" s="15" customFormat="1" ht="13.8" x14ac:dyDescent="0.25"/>
    <row r="272" s="15" customFormat="1" ht="13.8" x14ac:dyDescent="0.25"/>
    <row r="273" s="15" customFormat="1" ht="13.8" x14ac:dyDescent="0.25"/>
    <row r="274" s="15" customFormat="1" ht="13.8" x14ac:dyDescent="0.25"/>
    <row r="275" s="15" customFormat="1" ht="13.8" x14ac:dyDescent="0.25"/>
    <row r="276" s="15" customFormat="1" ht="13.8" x14ac:dyDescent="0.25"/>
    <row r="277" s="15" customFormat="1" ht="13.8" x14ac:dyDescent="0.25"/>
    <row r="278" s="15" customFormat="1" ht="13.8" x14ac:dyDescent="0.25"/>
    <row r="279" s="15" customFormat="1" ht="13.8" x14ac:dyDescent="0.25"/>
    <row r="280" s="15" customFormat="1" ht="13.8" x14ac:dyDescent="0.25"/>
    <row r="281" s="15" customFormat="1" ht="13.8" x14ac:dyDescent="0.25"/>
    <row r="282" s="15" customFormat="1" ht="13.8" x14ac:dyDescent="0.25"/>
    <row r="283" s="15" customFormat="1" ht="13.8" x14ac:dyDescent="0.25"/>
    <row r="284" s="15" customFormat="1" ht="13.8" x14ac:dyDescent="0.25"/>
    <row r="285" s="15" customFormat="1" ht="13.8" x14ac:dyDescent="0.25"/>
    <row r="286" s="15" customFormat="1" ht="13.8" x14ac:dyDescent="0.25"/>
    <row r="287" s="15" customFormat="1" ht="13.8" x14ac:dyDescent="0.25"/>
    <row r="288" s="15" customFormat="1" ht="13.8" x14ac:dyDescent="0.25"/>
    <row r="289" s="15" customFormat="1" ht="13.8" x14ac:dyDescent="0.25"/>
    <row r="290" s="15" customFormat="1" ht="13.8" x14ac:dyDescent="0.25"/>
    <row r="291" s="15" customFormat="1" ht="13.8" x14ac:dyDescent="0.25"/>
    <row r="292" s="15" customFormat="1" ht="13.8" x14ac:dyDescent="0.25"/>
    <row r="293" s="15" customFormat="1" ht="13.8" x14ac:dyDescent="0.25"/>
    <row r="294" s="15" customFormat="1" ht="13.8" x14ac:dyDescent="0.25"/>
    <row r="295" s="15" customFormat="1" ht="13.8" x14ac:dyDescent="0.25"/>
    <row r="296" s="15" customFormat="1" ht="13.8" x14ac:dyDescent="0.25"/>
    <row r="297" s="15" customFormat="1" ht="13.8" x14ac:dyDescent="0.25"/>
    <row r="298" s="15" customFormat="1" ht="13.8" x14ac:dyDescent="0.25"/>
    <row r="299" s="15" customFormat="1" ht="13.8" x14ac:dyDescent="0.25"/>
    <row r="300" s="15" customFormat="1" ht="13.8" x14ac:dyDescent="0.25"/>
    <row r="301" s="15" customFormat="1" ht="13.8" x14ac:dyDescent="0.25"/>
    <row r="302" s="15" customFormat="1" ht="13.8" x14ac:dyDescent="0.25"/>
    <row r="303" s="15" customFormat="1" ht="13.8" x14ac:dyDescent="0.25"/>
    <row r="304" s="15" customFormat="1" ht="13.8" x14ac:dyDescent="0.25"/>
    <row r="305" s="15" customFormat="1" ht="13.8" x14ac:dyDescent="0.25"/>
    <row r="306" s="15" customFormat="1" ht="13.8" x14ac:dyDescent="0.25"/>
    <row r="307" s="15" customFormat="1" ht="13.8" x14ac:dyDescent="0.25"/>
    <row r="308" s="15" customFormat="1" ht="13.8" x14ac:dyDescent="0.25"/>
    <row r="309" s="15" customFormat="1" ht="13.8" x14ac:dyDescent="0.25"/>
    <row r="310" s="15" customFormat="1" ht="13.8" x14ac:dyDescent="0.25"/>
    <row r="311" s="15" customFormat="1" ht="13.8" x14ac:dyDescent="0.25"/>
    <row r="312" s="15" customFormat="1" ht="13.8" x14ac:dyDescent="0.25"/>
    <row r="313" s="15" customFormat="1" ht="13.8" x14ac:dyDescent="0.25"/>
    <row r="314" s="15" customFormat="1" ht="13.8" x14ac:dyDescent="0.25"/>
    <row r="315" s="15" customFormat="1" ht="13.8" x14ac:dyDescent="0.25"/>
    <row r="316" s="15" customFormat="1" ht="13.8" x14ac:dyDescent="0.25"/>
    <row r="317" s="15" customFormat="1" ht="13.8" x14ac:dyDescent="0.25"/>
    <row r="318" s="15" customFormat="1" ht="13.8" x14ac:dyDescent="0.25"/>
    <row r="319" s="15" customFormat="1" ht="13.8" x14ac:dyDescent="0.25"/>
    <row r="320" s="15" customFormat="1" ht="13.8" x14ac:dyDescent="0.25"/>
    <row r="321" s="15" customFormat="1" ht="13.8" x14ac:dyDescent="0.25"/>
    <row r="322" s="15" customFormat="1" ht="13.8" x14ac:dyDescent="0.25"/>
    <row r="323" s="15" customFormat="1" ht="13.8" x14ac:dyDescent="0.25"/>
    <row r="324" s="15" customFormat="1" ht="13.8" x14ac:dyDescent="0.25"/>
    <row r="325" s="15" customFormat="1" ht="13.8" x14ac:dyDescent="0.25"/>
    <row r="326" s="15" customFormat="1" ht="13.8" x14ac:dyDescent="0.25"/>
    <row r="327" s="15" customFormat="1" ht="13.8" x14ac:dyDescent="0.25"/>
    <row r="328" s="15" customFormat="1" ht="13.8" x14ac:dyDescent="0.25"/>
    <row r="329" s="15" customFormat="1" ht="13.8" x14ac:dyDescent="0.25"/>
    <row r="330" s="15" customFormat="1" ht="13.8" x14ac:dyDescent="0.25"/>
    <row r="331" s="15" customFormat="1" ht="13.8" x14ac:dyDescent="0.25"/>
    <row r="332" s="15" customFormat="1" ht="13.8" x14ac:dyDescent="0.25"/>
    <row r="333" s="15" customFormat="1" ht="13.8" x14ac:dyDescent="0.25"/>
    <row r="334" s="15" customFormat="1" ht="13.8" x14ac:dyDescent="0.25"/>
    <row r="335" s="15" customFormat="1" ht="13.8" x14ac:dyDescent="0.25"/>
    <row r="336" s="15" customFormat="1" ht="13.8" x14ac:dyDescent="0.25"/>
    <row r="337" s="15" customFormat="1" ht="13.8" x14ac:dyDescent="0.25"/>
    <row r="338" s="15" customFormat="1" ht="13.8" x14ac:dyDescent="0.25"/>
    <row r="339" s="15" customFormat="1" ht="13.8" x14ac:dyDescent="0.25"/>
    <row r="340" s="15" customFormat="1" ht="13.8" x14ac:dyDescent="0.25"/>
    <row r="341" s="15" customFormat="1" ht="13.8" x14ac:dyDescent="0.25"/>
    <row r="342" s="15" customFormat="1" ht="13.8" x14ac:dyDescent="0.25"/>
    <row r="343" s="15" customFormat="1" ht="13.8" x14ac:dyDescent="0.25"/>
    <row r="344" s="15" customFormat="1" ht="13.8" x14ac:dyDescent="0.25"/>
    <row r="345" s="15" customFormat="1" ht="13.8" x14ac:dyDescent="0.25"/>
    <row r="346" s="15" customFormat="1" ht="13.8" x14ac:dyDescent="0.25"/>
    <row r="347" s="15" customFormat="1" ht="13.8" x14ac:dyDescent="0.25"/>
    <row r="348" s="15" customFormat="1" ht="13.8" x14ac:dyDescent="0.25"/>
    <row r="349" s="15" customFormat="1" ht="13.8" x14ac:dyDescent="0.25"/>
    <row r="350" s="15" customFormat="1" ht="13.8" x14ac:dyDescent="0.25"/>
    <row r="351" s="15" customFormat="1" ht="13.8" x14ac:dyDescent="0.25"/>
    <row r="352" s="15" customFormat="1" ht="13.8" x14ac:dyDescent="0.25"/>
    <row r="353" s="15" customFormat="1" ht="13.8" x14ac:dyDescent="0.25"/>
    <row r="354" s="15" customFormat="1" ht="13.8" x14ac:dyDescent="0.25"/>
    <row r="355" s="15" customFormat="1" ht="13.8" x14ac:dyDescent="0.25"/>
    <row r="356" s="15" customFormat="1" ht="13.8" x14ac:dyDescent="0.25"/>
    <row r="357" s="15" customFormat="1" ht="13.8" x14ac:dyDescent="0.25"/>
    <row r="358" s="15" customFormat="1" ht="13.8" x14ac:dyDescent="0.25"/>
    <row r="359" s="15" customFormat="1" ht="13.8" x14ac:dyDescent="0.25"/>
    <row r="360" s="15" customFormat="1" ht="13.8" x14ac:dyDescent="0.25"/>
    <row r="361" s="15" customFormat="1" ht="13.8" x14ac:dyDescent="0.25"/>
    <row r="362" s="15" customFormat="1" ht="13.8" x14ac:dyDescent="0.25"/>
    <row r="363" s="15" customFormat="1" ht="13.8" x14ac:dyDescent="0.25"/>
    <row r="364" s="15" customFormat="1" ht="13.8" x14ac:dyDescent="0.25"/>
    <row r="365" s="15" customFormat="1" ht="13.8" x14ac:dyDescent="0.25"/>
    <row r="366" s="15" customFormat="1" ht="13.8" x14ac:dyDescent="0.25"/>
    <row r="367" s="15" customFormat="1" ht="13.8" x14ac:dyDescent="0.25"/>
    <row r="368" s="15" customFormat="1" ht="13.8" x14ac:dyDescent="0.25"/>
    <row r="369" s="15" customFormat="1" ht="13.8" x14ac:dyDescent="0.25"/>
    <row r="370" s="15" customFormat="1" ht="13.8" x14ac:dyDescent="0.25"/>
    <row r="371" s="15" customFormat="1" ht="13.8" x14ac:dyDescent="0.25"/>
    <row r="372" s="15" customFormat="1" ht="13.8" x14ac:dyDescent="0.25"/>
    <row r="373" s="15" customFormat="1" ht="13.8" x14ac:dyDescent="0.25"/>
    <row r="374" s="15" customFormat="1" ht="13.8" x14ac:dyDescent="0.25"/>
    <row r="375" s="15" customFormat="1" ht="13.8" x14ac:dyDescent="0.25"/>
    <row r="376" s="15" customFormat="1" ht="13.8" x14ac:dyDescent="0.25"/>
    <row r="377" s="15" customFormat="1" ht="13.8" x14ac:dyDescent="0.25"/>
    <row r="378" s="15" customFormat="1" ht="13.8" x14ac:dyDescent="0.25"/>
    <row r="379" s="15" customFormat="1" ht="13.8" x14ac:dyDescent="0.25"/>
    <row r="380" s="15" customFormat="1" ht="13.8" x14ac:dyDescent="0.25"/>
    <row r="381" s="15" customFormat="1" ht="13.8" x14ac:dyDescent="0.25"/>
    <row r="382" s="15" customFormat="1" ht="13.8" x14ac:dyDescent="0.25"/>
    <row r="383" s="15" customFormat="1" ht="13.8" x14ac:dyDescent="0.25"/>
    <row r="384" s="15" customFormat="1" ht="13.8" x14ac:dyDescent="0.25"/>
    <row r="385" s="15" customFormat="1" ht="13.8" x14ac:dyDescent="0.25"/>
    <row r="386" s="15" customFormat="1" ht="13.8" x14ac:dyDescent="0.25"/>
    <row r="387" s="15" customFormat="1" ht="13.8" x14ac:dyDescent="0.25"/>
    <row r="388" s="15" customFormat="1" ht="13.8" x14ac:dyDescent="0.25"/>
    <row r="389" s="15" customFormat="1" ht="13.8" x14ac:dyDescent="0.25"/>
    <row r="390" s="15" customFormat="1" ht="13.8" x14ac:dyDescent="0.25"/>
    <row r="391" s="15" customFormat="1" ht="13.8" x14ac:dyDescent="0.25"/>
    <row r="392" s="15" customFormat="1" ht="13.8" x14ac:dyDescent="0.25"/>
    <row r="393" s="15" customFormat="1" ht="13.8" x14ac:dyDescent="0.25"/>
    <row r="394" s="15" customFormat="1" ht="13.8" x14ac:dyDescent="0.25"/>
    <row r="395" s="15" customFormat="1" ht="13.8" x14ac:dyDescent="0.25"/>
    <row r="396" s="15" customFormat="1" ht="13.8" x14ac:dyDescent="0.25"/>
    <row r="397" s="15" customFormat="1" ht="13.8" x14ac:dyDescent="0.25"/>
    <row r="398" s="15" customFormat="1" ht="13.8" x14ac:dyDescent="0.25"/>
    <row r="399" s="15" customFormat="1" ht="13.8" x14ac:dyDescent="0.25"/>
    <row r="400" s="15" customFormat="1" ht="13.8" x14ac:dyDescent="0.25"/>
    <row r="401" s="15" customFormat="1" ht="13.8" x14ac:dyDescent="0.25"/>
    <row r="402" s="15" customFormat="1" ht="13.8" x14ac:dyDescent="0.25"/>
    <row r="403" s="15" customFormat="1" ht="13.8" x14ac:dyDescent="0.25"/>
    <row r="404" s="15" customFormat="1" ht="13.8" x14ac:dyDescent="0.25"/>
    <row r="405" s="15" customFormat="1" ht="13.8" x14ac:dyDescent="0.25"/>
    <row r="406" s="15" customFormat="1" ht="13.8" x14ac:dyDescent="0.25"/>
    <row r="407" s="15" customFormat="1" ht="13.8" x14ac:dyDescent="0.25"/>
    <row r="408" s="15" customFormat="1" ht="13.8" x14ac:dyDescent="0.25"/>
    <row r="409" s="15" customFormat="1" ht="13.8" x14ac:dyDescent="0.25"/>
    <row r="410" s="15" customFormat="1" ht="13.8" x14ac:dyDescent="0.25"/>
    <row r="411" s="15" customFormat="1" ht="13.8" x14ac:dyDescent="0.25"/>
    <row r="412" s="15" customFormat="1" ht="13.8" x14ac:dyDescent="0.25"/>
    <row r="413" s="15" customFormat="1" ht="13.8" x14ac:dyDescent="0.25"/>
    <row r="414" s="15" customFormat="1" ht="13.8" x14ac:dyDescent="0.25"/>
    <row r="415" s="15" customFormat="1" ht="13.8" x14ac:dyDescent="0.25"/>
    <row r="416" s="15" customFormat="1" ht="13.8" x14ac:dyDescent="0.25"/>
    <row r="417" s="15" customFormat="1" ht="13.8" x14ac:dyDescent="0.25"/>
    <row r="418" s="15" customFormat="1" ht="13.8" x14ac:dyDescent="0.25"/>
    <row r="419" s="15" customFormat="1" ht="13.8" x14ac:dyDescent="0.25"/>
    <row r="420" s="15" customFormat="1" ht="13.8" x14ac:dyDescent="0.25"/>
    <row r="421" s="15" customFormat="1" ht="13.8" x14ac:dyDescent="0.25"/>
    <row r="422" s="15" customFormat="1" ht="13.8" x14ac:dyDescent="0.25"/>
    <row r="423" s="15" customFormat="1" ht="13.8" x14ac:dyDescent="0.25"/>
    <row r="424" s="15" customFormat="1" ht="13.8" x14ac:dyDescent="0.25"/>
    <row r="425" s="15" customFormat="1" ht="13.8" x14ac:dyDescent="0.25"/>
    <row r="426" s="15" customFormat="1" ht="13.8" x14ac:dyDescent="0.25"/>
    <row r="427" s="15" customFormat="1" ht="13.8" x14ac:dyDescent="0.25"/>
    <row r="428" s="15" customFormat="1" ht="13.8" x14ac:dyDescent="0.25"/>
    <row r="429" s="15" customFormat="1" ht="13.8" x14ac:dyDescent="0.25"/>
    <row r="430" s="15" customFormat="1" ht="13.8" x14ac:dyDescent="0.25"/>
    <row r="431" s="15" customFormat="1" ht="13.8" x14ac:dyDescent="0.25"/>
    <row r="432" s="15" customFormat="1" ht="13.8" x14ac:dyDescent="0.25"/>
    <row r="433" s="15" customFormat="1" ht="13.8" x14ac:dyDescent="0.25"/>
    <row r="434" s="15" customFormat="1" ht="13.8" x14ac:dyDescent="0.25"/>
    <row r="435" s="15" customFormat="1" ht="13.8" x14ac:dyDescent="0.25"/>
    <row r="436" s="15" customFormat="1" ht="13.8" x14ac:dyDescent="0.25"/>
    <row r="437" s="15" customFormat="1" ht="13.8" x14ac:dyDescent="0.25"/>
    <row r="438" s="15" customFormat="1" ht="13.8" x14ac:dyDescent="0.25"/>
    <row r="439" s="15" customFormat="1" ht="13.8" x14ac:dyDescent="0.25"/>
    <row r="440" s="15" customFormat="1" ht="13.8" x14ac:dyDescent="0.25"/>
    <row r="441" s="15" customFormat="1" ht="13.8" x14ac:dyDescent="0.25"/>
    <row r="442" s="15" customFormat="1" ht="13.8" x14ac:dyDescent="0.25"/>
    <row r="443" s="15" customFormat="1" ht="13.8" x14ac:dyDescent="0.25"/>
    <row r="444" s="15" customFormat="1" ht="13.8" x14ac:dyDescent="0.25"/>
    <row r="445" s="15" customFormat="1" ht="13.8" x14ac:dyDescent="0.25"/>
    <row r="446" s="15" customFormat="1" ht="13.8" x14ac:dyDescent="0.25"/>
    <row r="447" s="15" customFormat="1" ht="13.8" x14ac:dyDescent="0.25"/>
    <row r="448" s="15" customFormat="1" ht="13.8" x14ac:dyDescent="0.25"/>
    <row r="449" s="15" customFormat="1" ht="13.8" x14ac:dyDescent="0.25"/>
    <row r="450" s="15" customFormat="1" ht="13.8" x14ac:dyDescent="0.25"/>
    <row r="451" s="15" customFormat="1" ht="13.8" x14ac:dyDescent="0.25"/>
    <row r="452" s="15" customFormat="1" ht="13.8" x14ac:dyDescent="0.25"/>
    <row r="453" s="15" customFormat="1" ht="13.8" x14ac:dyDescent="0.25"/>
    <row r="454" s="15" customFormat="1" ht="13.8" x14ac:dyDescent="0.25"/>
    <row r="455" s="15" customFormat="1" ht="13.8" x14ac:dyDescent="0.25"/>
    <row r="456" s="15" customFormat="1" ht="13.8" x14ac:dyDescent="0.25"/>
    <row r="457" s="15" customFormat="1" ht="13.8" x14ac:dyDescent="0.25"/>
    <row r="458" s="15" customFormat="1" ht="13.8" x14ac:dyDescent="0.25"/>
    <row r="459" s="15" customFormat="1" ht="13.8" x14ac:dyDescent="0.25"/>
    <row r="460" s="15" customFormat="1" ht="13.8" x14ac:dyDescent="0.25"/>
    <row r="461" s="15" customFormat="1" ht="13.8" x14ac:dyDescent="0.25"/>
    <row r="462" s="15" customFormat="1" ht="13.8" x14ac:dyDescent="0.25"/>
    <row r="463" s="15" customFormat="1" ht="13.8" x14ac:dyDescent="0.25"/>
    <row r="464" s="15" customFormat="1" ht="13.8" x14ac:dyDescent="0.25"/>
    <row r="465" s="15" customFormat="1" ht="13.8" x14ac:dyDescent="0.25"/>
    <row r="466" s="15" customFormat="1" ht="13.8" x14ac:dyDescent="0.25"/>
    <row r="467" s="15" customFormat="1" ht="13.8" x14ac:dyDescent="0.25"/>
    <row r="468" s="15" customFormat="1" ht="13.8" x14ac:dyDescent="0.25"/>
    <row r="469" s="15" customFormat="1" ht="13.8" x14ac:dyDescent="0.25"/>
    <row r="470" s="15" customFormat="1" ht="13.8" x14ac:dyDescent="0.25"/>
    <row r="471" s="15" customFormat="1" ht="13.8" x14ac:dyDescent="0.25"/>
    <row r="472" s="15" customFormat="1" ht="13.8" x14ac:dyDescent="0.25"/>
    <row r="473" s="15" customFormat="1" ht="13.8" x14ac:dyDescent="0.25"/>
    <row r="474" s="15" customFormat="1" ht="13.8" x14ac:dyDescent="0.25"/>
    <row r="475" s="15" customFormat="1" ht="13.8" x14ac:dyDescent="0.25"/>
    <row r="476" s="15" customFormat="1" ht="13.8" x14ac:dyDescent="0.25"/>
    <row r="477" s="15" customFormat="1" ht="13.8" x14ac:dyDescent="0.25"/>
    <row r="478" s="15" customFormat="1" ht="13.8" x14ac:dyDescent="0.25"/>
    <row r="479" s="15" customFormat="1" ht="13.8" x14ac:dyDescent="0.25"/>
    <row r="480" s="15" customFormat="1" ht="13.8" x14ac:dyDescent="0.25"/>
    <row r="481" s="15" customFormat="1" ht="13.8" x14ac:dyDescent="0.25"/>
    <row r="482" s="15" customFormat="1" ht="13.8" x14ac:dyDescent="0.25"/>
    <row r="483" s="15" customFormat="1" ht="13.8" x14ac:dyDescent="0.25"/>
    <row r="484" s="15" customFormat="1" ht="13.8" x14ac:dyDescent="0.25"/>
    <row r="485" s="15" customFormat="1" ht="13.8" x14ac:dyDescent="0.25"/>
    <row r="486" s="15" customFormat="1" ht="13.8" x14ac:dyDescent="0.25"/>
    <row r="487" s="15" customFormat="1" ht="13.8" x14ac:dyDescent="0.25"/>
    <row r="488" s="15" customFormat="1" ht="13.8" x14ac:dyDescent="0.25"/>
    <row r="489" s="15" customFormat="1" ht="13.8" x14ac:dyDescent="0.25"/>
    <row r="490" s="15" customFormat="1" ht="13.8" x14ac:dyDescent="0.25"/>
    <row r="491" s="15" customFormat="1" ht="13.8" x14ac:dyDescent="0.25"/>
    <row r="492" s="15" customFormat="1" ht="13.8" x14ac:dyDescent="0.25"/>
    <row r="493" s="15" customFormat="1" ht="13.8" x14ac:dyDescent="0.25"/>
    <row r="494" s="15" customFormat="1" ht="13.8" x14ac:dyDescent="0.25"/>
    <row r="495" s="15" customFormat="1" ht="13.8" x14ac:dyDescent="0.25"/>
    <row r="496" s="15" customFormat="1" ht="13.8" x14ac:dyDescent="0.25"/>
    <row r="497" s="15" customFormat="1" ht="13.8" x14ac:dyDescent="0.25"/>
    <row r="498" s="15" customFormat="1" ht="13.8" x14ac:dyDescent="0.25"/>
    <row r="499" s="15" customFormat="1" ht="13.8" x14ac:dyDescent="0.25"/>
    <row r="500" s="15" customFormat="1" ht="13.8" x14ac:dyDescent="0.25"/>
    <row r="501" s="15" customFormat="1" ht="13.8" x14ac:dyDescent="0.25"/>
    <row r="502" s="15" customFormat="1" ht="13.8" x14ac:dyDescent="0.25"/>
    <row r="503" s="15" customFormat="1" ht="13.8" x14ac:dyDescent="0.25"/>
    <row r="504" s="15" customFormat="1" ht="13.8" x14ac:dyDescent="0.25"/>
    <row r="505" s="15" customFormat="1" ht="13.8" x14ac:dyDescent="0.25"/>
    <row r="506" s="15" customFormat="1" ht="13.8" x14ac:dyDescent="0.25"/>
    <row r="507" s="15" customFormat="1" ht="13.8" x14ac:dyDescent="0.25"/>
    <row r="508" s="15" customFormat="1" ht="13.8" x14ac:dyDescent="0.25"/>
    <row r="509" s="15" customFormat="1" ht="13.8" x14ac:dyDescent="0.25"/>
    <row r="510" s="15" customFormat="1" ht="13.8" x14ac:dyDescent="0.25"/>
    <row r="511" s="15" customFormat="1" ht="13.8" x14ac:dyDescent="0.25"/>
    <row r="512" s="15" customFormat="1" ht="13.8" x14ac:dyDescent="0.25"/>
    <row r="513" s="15" customFormat="1" ht="13.8" x14ac:dyDescent="0.25"/>
    <row r="514" s="15" customFormat="1" ht="13.8" x14ac:dyDescent="0.25"/>
    <row r="515" s="15" customFormat="1" ht="13.8" x14ac:dyDescent="0.25"/>
    <row r="516" s="15" customFormat="1" ht="13.8" x14ac:dyDescent="0.25"/>
    <row r="517" s="15" customFormat="1" ht="13.8" x14ac:dyDescent="0.25"/>
    <row r="518" s="15" customFormat="1" ht="13.8" x14ac:dyDescent="0.25"/>
    <row r="519" s="15" customFormat="1" ht="13.8" x14ac:dyDescent="0.25"/>
    <row r="520" s="15" customFormat="1" ht="13.8" x14ac:dyDescent="0.25"/>
    <row r="521" s="15" customFormat="1" ht="13.8" x14ac:dyDescent="0.25"/>
    <row r="522" s="15" customFormat="1" ht="13.8" x14ac:dyDescent="0.25"/>
    <row r="523" s="15" customFormat="1" ht="13.8" x14ac:dyDescent="0.25"/>
    <row r="524" s="15" customFormat="1" ht="13.8" x14ac:dyDescent="0.25"/>
    <row r="525" s="15" customFormat="1" ht="13.8" x14ac:dyDescent="0.25"/>
    <row r="526" s="15" customFormat="1" ht="13.8" x14ac:dyDescent="0.25"/>
    <row r="527" s="15" customFormat="1" ht="13.8" x14ac:dyDescent="0.25"/>
    <row r="528" s="15" customFormat="1" ht="13.8" x14ac:dyDescent="0.25"/>
    <row r="529" s="15" customFormat="1" ht="13.8" x14ac:dyDescent="0.25"/>
    <row r="530" s="15" customFormat="1" ht="13.8" x14ac:dyDescent="0.25"/>
    <row r="531" s="15" customFormat="1" ht="13.8" x14ac:dyDescent="0.25"/>
    <row r="532" s="15" customFormat="1" ht="13.8" x14ac:dyDescent="0.25"/>
    <row r="533" s="15" customFormat="1" ht="13.8" x14ac:dyDescent="0.25"/>
    <row r="534" s="15" customFormat="1" ht="13.8" x14ac:dyDescent="0.25"/>
    <row r="535" s="15" customFormat="1" ht="13.8" x14ac:dyDescent="0.25"/>
    <row r="536" s="15" customFormat="1" ht="13.8" x14ac:dyDescent="0.25"/>
    <row r="537" s="15" customFormat="1" ht="13.8" x14ac:dyDescent="0.25"/>
    <row r="538" s="15" customFormat="1" ht="13.8" x14ac:dyDescent="0.25"/>
    <row r="539" s="15" customFormat="1" ht="13.8" x14ac:dyDescent="0.25"/>
    <row r="540" s="15" customFormat="1" ht="13.8" x14ac:dyDescent="0.25"/>
    <row r="541" s="15" customFormat="1" ht="13.8" x14ac:dyDescent="0.25"/>
    <row r="542" s="15" customFormat="1" ht="13.8" x14ac:dyDescent="0.25"/>
    <row r="543" s="15" customFormat="1" ht="13.8" x14ac:dyDescent="0.25"/>
    <row r="544" s="15" customFormat="1" ht="13.8" x14ac:dyDescent="0.25"/>
    <row r="545" s="15" customFormat="1" ht="13.8" x14ac:dyDescent="0.25"/>
    <row r="546" s="15" customFormat="1" ht="13.8" x14ac:dyDescent="0.25"/>
    <row r="547" s="15" customFormat="1" ht="13.8" x14ac:dyDescent="0.25"/>
    <row r="548" s="15" customFormat="1" ht="13.8" x14ac:dyDescent="0.25"/>
    <row r="549" s="15" customFormat="1" ht="13.8" x14ac:dyDescent="0.25"/>
    <row r="550" s="15" customFormat="1" ht="13.8" x14ac:dyDescent="0.25"/>
    <row r="551" s="15" customFormat="1" ht="13.8" x14ac:dyDescent="0.25"/>
    <row r="552" s="15" customFormat="1" ht="13.8" x14ac:dyDescent="0.25"/>
    <row r="553" s="15" customFormat="1" ht="13.8" x14ac:dyDescent="0.25"/>
    <row r="554" s="15" customFormat="1" ht="13.8" x14ac:dyDescent="0.25"/>
    <row r="555" s="15" customFormat="1" ht="13.8" x14ac:dyDescent="0.25"/>
    <row r="556" s="15" customFormat="1" ht="13.8" x14ac:dyDescent="0.25"/>
    <row r="557" s="15" customFormat="1" ht="13.8" x14ac:dyDescent="0.25"/>
    <row r="558" s="15" customFormat="1" ht="13.8" x14ac:dyDescent="0.25"/>
    <row r="559" s="15" customFormat="1" ht="13.8" x14ac:dyDescent="0.25"/>
    <row r="560" s="15" customFormat="1" ht="13.8" x14ac:dyDescent="0.25"/>
    <row r="561" s="15" customFormat="1" ht="13.8" x14ac:dyDescent="0.25"/>
    <row r="562" s="15" customFormat="1" ht="13.8" x14ac:dyDescent="0.25"/>
    <row r="563" s="15" customFormat="1" ht="13.8" x14ac:dyDescent="0.25"/>
    <row r="564" s="15" customFormat="1" ht="13.8" x14ac:dyDescent="0.25"/>
    <row r="565" s="15" customFormat="1" ht="13.8" x14ac:dyDescent="0.25"/>
    <row r="566" s="15" customFormat="1" ht="13.8" x14ac:dyDescent="0.25"/>
    <row r="567" s="15" customFormat="1" ht="13.8" x14ac:dyDescent="0.25"/>
    <row r="568" s="15" customFormat="1" ht="13.8" x14ac:dyDescent="0.25"/>
    <row r="569" s="15" customFormat="1" ht="13.8" x14ac:dyDescent="0.25"/>
    <row r="570" s="15" customFormat="1" ht="13.8" x14ac:dyDescent="0.25"/>
    <row r="571" s="15" customFormat="1" ht="13.8" x14ac:dyDescent="0.25"/>
    <row r="572" s="15" customFormat="1" ht="13.8" x14ac:dyDescent="0.25"/>
    <row r="573" s="15" customFormat="1" ht="13.8" x14ac:dyDescent="0.25"/>
    <row r="574" s="15" customFormat="1" ht="13.8" x14ac:dyDescent="0.25"/>
    <row r="575" s="15" customFormat="1" ht="13.8" x14ac:dyDescent="0.25"/>
    <row r="576" s="15" customFormat="1" ht="13.8" x14ac:dyDescent="0.25"/>
    <row r="577" s="15" customFormat="1" ht="13.8" x14ac:dyDescent="0.25"/>
    <row r="578" s="15" customFormat="1" ht="13.8" x14ac:dyDescent="0.25"/>
    <row r="579" s="15" customFormat="1" ht="13.8" x14ac:dyDescent="0.25"/>
    <row r="580" s="15" customFormat="1" ht="13.8" x14ac:dyDescent="0.25"/>
    <row r="581" s="15" customFormat="1" ht="13.8" x14ac:dyDescent="0.25"/>
    <row r="582" s="15" customFormat="1" ht="13.8" x14ac:dyDescent="0.25"/>
    <row r="583" s="15" customFormat="1" ht="13.8" x14ac:dyDescent="0.25"/>
    <row r="584" s="15" customFormat="1" ht="13.8" x14ac:dyDescent="0.25"/>
    <row r="585" s="15" customFormat="1" ht="13.8" x14ac:dyDescent="0.25"/>
    <row r="586" s="15" customFormat="1" ht="13.8" x14ac:dyDescent="0.25"/>
    <row r="587" s="15" customFormat="1" ht="13.8" x14ac:dyDescent="0.25"/>
    <row r="588" s="15" customFormat="1" ht="13.8" x14ac:dyDescent="0.25"/>
    <row r="589" s="15" customFormat="1" ht="13.8" x14ac:dyDescent="0.25"/>
    <row r="590" s="15" customFormat="1" ht="13.8" x14ac:dyDescent="0.25"/>
    <row r="591" s="15" customFormat="1" ht="13.8" x14ac:dyDescent="0.25"/>
    <row r="592" s="15" customFormat="1" ht="13.8" x14ac:dyDescent="0.25"/>
    <row r="593" s="15" customFormat="1" ht="13.8" x14ac:dyDescent="0.25"/>
    <row r="594" s="15" customFormat="1" ht="13.8" x14ac:dyDescent="0.25"/>
    <row r="595" s="15" customFormat="1" ht="13.8" x14ac:dyDescent="0.25"/>
    <row r="596" s="15" customFormat="1" ht="13.8" x14ac:dyDescent="0.25"/>
    <row r="597" s="15" customFormat="1" ht="13.8" x14ac:dyDescent="0.25"/>
    <row r="598" s="15" customFormat="1" ht="13.8" x14ac:dyDescent="0.25"/>
    <row r="599" s="15" customFormat="1" ht="13.8" x14ac:dyDescent="0.25"/>
    <row r="600" s="15" customFormat="1" ht="13.8" x14ac:dyDescent="0.25"/>
    <row r="601" s="15" customFormat="1" ht="13.8" x14ac:dyDescent="0.25"/>
    <row r="602" s="15" customFormat="1" ht="13.8" x14ac:dyDescent="0.25"/>
    <row r="603" s="15" customFormat="1" ht="13.8" x14ac:dyDescent="0.25"/>
    <row r="604" s="15" customFormat="1" ht="13.8" x14ac:dyDescent="0.25"/>
    <row r="605" s="15" customFormat="1" ht="13.8" x14ac:dyDescent="0.25"/>
    <row r="606" s="15" customFormat="1" ht="13.8" x14ac:dyDescent="0.25"/>
    <row r="607" s="15" customFormat="1" ht="13.8" x14ac:dyDescent="0.25"/>
    <row r="608" s="15" customFormat="1" ht="13.8" x14ac:dyDescent="0.25"/>
    <row r="609" s="15" customFormat="1" ht="13.8" x14ac:dyDescent="0.25"/>
    <row r="610" s="15" customFormat="1" ht="13.8" x14ac:dyDescent="0.25"/>
    <row r="611" s="15" customFormat="1" ht="13.8" x14ac:dyDescent="0.25"/>
    <row r="612" s="15" customFormat="1" ht="13.8" x14ac:dyDescent="0.25"/>
    <row r="613" s="15" customFormat="1" ht="13.8" x14ac:dyDescent="0.25"/>
    <row r="614" s="15" customFormat="1" ht="13.8" x14ac:dyDescent="0.25"/>
    <row r="615" s="15" customFormat="1" ht="13.8" x14ac:dyDescent="0.25"/>
    <row r="616" s="15" customFormat="1" ht="13.8" x14ac:dyDescent="0.25"/>
    <row r="617" s="15" customFormat="1" ht="13.8" x14ac:dyDescent="0.25"/>
    <row r="618" s="15" customFormat="1" ht="13.8" x14ac:dyDescent="0.25"/>
    <row r="619" s="15" customFormat="1" ht="13.8" x14ac:dyDescent="0.25"/>
    <row r="620" s="15" customFormat="1" ht="13.8" x14ac:dyDescent="0.25"/>
    <row r="621" s="15" customFormat="1" ht="13.8" x14ac:dyDescent="0.25"/>
    <row r="622" s="15" customFormat="1" ht="13.8" x14ac:dyDescent="0.25"/>
    <row r="623" s="15" customFormat="1" ht="13.8" x14ac:dyDescent="0.25"/>
    <row r="624" s="15" customFormat="1" ht="13.8" x14ac:dyDescent="0.25"/>
    <row r="625" s="15" customFormat="1" ht="13.8" x14ac:dyDescent="0.25"/>
    <row r="626" s="15" customFormat="1" ht="13.8" x14ac:dyDescent="0.25"/>
    <row r="627" s="15" customFormat="1" ht="13.8" x14ac:dyDescent="0.25"/>
    <row r="628" s="15" customFormat="1" ht="13.8" x14ac:dyDescent="0.25"/>
    <row r="629" s="15" customFormat="1" ht="13.8" x14ac:dyDescent="0.25"/>
    <row r="630" s="15" customFormat="1" ht="13.8" x14ac:dyDescent="0.25"/>
    <row r="631" s="15" customFormat="1" ht="13.8" x14ac:dyDescent="0.25"/>
    <row r="632" s="15" customFormat="1" ht="13.8" x14ac:dyDescent="0.25"/>
    <row r="633" s="15" customFormat="1" ht="13.8" x14ac:dyDescent="0.25"/>
    <row r="634" s="15" customFormat="1" ht="13.8" x14ac:dyDescent="0.25"/>
    <row r="635" s="15" customFormat="1" ht="13.8" x14ac:dyDescent="0.25"/>
    <row r="636" s="15" customFormat="1" ht="13.8" x14ac:dyDescent="0.25"/>
    <row r="637" s="15" customFormat="1" ht="13.8" x14ac:dyDescent="0.25"/>
    <row r="638" s="15" customFormat="1" ht="13.8" x14ac:dyDescent="0.25"/>
    <row r="639" s="15" customFormat="1" ht="13.8" x14ac:dyDescent="0.25"/>
    <row r="640" s="15" customFormat="1" ht="13.8" x14ac:dyDescent="0.25"/>
    <row r="641" s="15" customFormat="1" ht="13.8" x14ac:dyDescent="0.25"/>
    <row r="642" s="15" customFormat="1" ht="13.8" x14ac:dyDescent="0.25"/>
    <row r="643" s="15" customFormat="1" ht="13.8" x14ac:dyDescent="0.25"/>
    <row r="644" s="15" customFormat="1" ht="13.8" x14ac:dyDescent="0.25"/>
    <row r="645" s="15" customFormat="1" ht="13.8" x14ac:dyDescent="0.25"/>
    <row r="646" s="15" customFormat="1" ht="13.8" x14ac:dyDescent="0.25"/>
    <row r="647" s="15" customFormat="1" ht="13.8" x14ac:dyDescent="0.25"/>
    <row r="648" s="15" customFormat="1" ht="13.8" x14ac:dyDescent="0.25"/>
    <row r="649" s="15" customFormat="1" ht="13.8" x14ac:dyDescent="0.25"/>
    <row r="650" s="15" customFormat="1" ht="13.8" x14ac:dyDescent="0.25"/>
    <row r="651" s="15" customFormat="1" ht="13.8" x14ac:dyDescent="0.25"/>
    <row r="652" s="15" customFormat="1" ht="13.8" x14ac:dyDescent="0.25"/>
    <row r="653" s="15" customFormat="1" ht="13.8" x14ac:dyDescent="0.25"/>
    <row r="654" s="15" customFormat="1" ht="13.8" x14ac:dyDescent="0.25"/>
    <row r="655" s="15" customFormat="1" ht="13.8" x14ac:dyDescent="0.25"/>
    <row r="656" s="15" customFormat="1" ht="13.8" x14ac:dyDescent="0.25"/>
    <row r="657" s="15" customFormat="1" ht="13.8" x14ac:dyDescent="0.25"/>
    <row r="658" s="15" customFormat="1" ht="13.8" x14ac:dyDescent="0.25"/>
    <row r="659" s="15" customFormat="1" ht="13.8" x14ac:dyDescent="0.25"/>
    <row r="660" s="15" customFormat="1" ht="13.8" x14ac:dyDescent="0.25"/>
    <row r="661" s="15" customFormat="1" ht="13.8" x14ac:dyDescent="0.25"/>
    <row r="662" s="15" customFormat="1" ht="13.8" x14ac:dyDescent="0.25"/>
    <row r="663" s="15" customFormat="1" ht="13.8" x14ac:dyDescent="0.25"/>
    <row r="664" s="15" customFormat="1" ht="13.8" x14ac:dyDescent="0.25"/>
    <row r="665" s="15" customFormat="1" ht="13.8" x14ac:dyDescent="0.25"/>
    <row r="666" s="15" customFormat="1" ht="13.8" x14ac:dyDescent="0.25"/>
    <row r="667" s="15" customFormat="1" ht="13.8" x14ac:dyDescent="0.25"/>
    <row r="668" s="15" customFormat="1" ht="13.8" x14ac:dyDescent="0.25"/>
    <row r="669" s="15" customFormat="1" ht="13.8" x14ac:dyDescent="0.25"/>
    <row r="670" s="15" customFormat="1" ht="13.8" x14ac:dyDescent="0.25"/>
    <row r="671" s="15" customFormat="1" ht="13.8" x14ac:dyDescent="0.25"/>
    <row r="672" s="15" customFormat="1" ht="13.8" x14ac:dyDescent="0.25"/>
    <row r="673" s="15" customFormat="1" ht="13.8" x14ac:dyDescent="0.25"/>
    <row r="674" s="15" customFormat="1" ht="13.8" x14ac:dyDescent="0.25"/>
    <row r="675" s="15" customFormat="1" ht="13.8" x14ac:dyDescent="0.25"/>
    <row r="676" s="15" customFormat="1" ht="13.8" x14ac:dyDescent="0.25"/>
    <row r="677" s="15" customFormat="1" ht="13.8" x14ac:dyDescent="0.25"/>
    <row r="678" s="15" customFormat="1" ht="13.8" x14ac:dyDescent="0.25"/>
    <row r="679" s="15" customFormat="1" ht="13.8" x14ac:dyDescent="0.25"/>
    <row r="680" s="15" customFormat="1" ht="13.8" x14ac:dyDescent="0.25"/>
    <row r="681" s="15" customFormat="1" ht="13.8" x14ac:dyDescent="0.25"/>
    <row r="682" s="15" customFormat="1" ht="13.8" x14ac:dyDescent="0.25"/>
    <row r="683" s="15" customFormat="1" ht="13.8" x14ac:dyDescent="0.25"/>
    <row r="684" s="15" customFormat="1" ht="13.8" x14ac:dyDescent="0.25"/>
    <row r="685" s="15" customFormat="1" ht="13.8" x14ac:dyDescent="0.25"/>
    <row r="686" s="15" customFormat="1" ht="13.8" x14ac:dyDescent="0.25"/>
    <row r="687" s="15" customFormat="1" ht="13.8" x14ac:dyDescent="0.25"/>
    <row r="688" s="15" customFormat="1" ht="13.8" x14ac:dyDescent="0.25"/>
    <row r="689" s="15" customFormat="1" ht="13.8" x14ac:dyDescent="0.25"/>
    <row r="690" s="15" customFormat="1" ht="13.8" x14ac:dyDescent="0.25"/>
    <row r="691" s="15" customFormat="1" ht="13.8" x14ac:dyDescent="0.25"/>
    <row r="692" s="15" customFormat="1" ht="13.8" x14ac:dyDescent="0.25"/>
    <row r="693" s="15" customFormat="1" ht="13.8" x14ac:dyDescent="0.25"/>
    <row r="694" s="15" customFormat="1" ht="13.8" x14ac:dyDescent="0.25"/>
    <row r="695" s="15" customFormat="1" ht="13.8" x14ac:dyDescent="0.25"/>
    <row r="696" s="15" customFormat="1" ht="13.8" x14ac:dyDescent="0.25"/>
    <row r="697" s="15" customFormat="1" ht="13.8" x14ac:dyDescent="0.25"/>
    <row r="698" s="15" customFormat="1" ht="13.8" x14ac:dyDescent="0.25"/>
    <row r="699" s="15" customFormat="1" ht="13.8" x14ac:dyDescent="0.25"/>
    <row r="700" s="15" customFormat="1" ht="13.8" x14ac:dyDescent="0.25"/>
    <row r="701" s="15" customFormat="1" ht="13.8" x14ac:dyDescent="0.25"/>
    <row r="702" s="15" customFormat="1" ht="13.8" x14ac:dyDescent="0.25"/>
    <row r="703" s="15" customFormat="1" ht="13.8" x14ac:dyDescent="0.25"/>
    <row r="704" s="15" customFormat="1" ht="13.8" x14ac:dyDescent="0.25"/>
    <row r="705" s="15" customFormat="1" ht="13.8" x14ac:dyDescent="0.25"/>
    <row r="706" s="15" customFormat="1" ht="13.8" x14ac:dyDescent="0.25"/>
    <row r="707" s="15" customFormat="1" ht="13.8" x14ac:dyDescent="0.25"/>
    <row r="708" s="15" customFormat="1" ht="13.8" x14ac:dyDescent="0.25"/>
    <row r="709" s="15" customFormat="1" ht="13.8" x14ac:dyDescent="0.25"/>
    <row r="710" s="15" customFormat="1" ht="13.8" x14ac:dyDescent="0.25"/>
    <row r="711" s="15" customFormat="1" ht="13.8" x14ac:dyDescent="0.25"/>
    <row r="712" s="15" customFormat="1" ht="13.8" x14ac:dyDescent="0.25"/>
    <row r="713" s="15" customFormat="1" ht="13.8" x14ac:dyDescent="0.25"/>
    <row r="714" s="15" customFormat="1" ht="13.8" x14ac:dyDescent="0.25"/>
    <row r="715" s="15" customFormat="1" ht="13.8" x14ac:dyDescent="0.25"/>
    <row r="716" s="15" customFormat="1" ht="13.8" x14ac:dyDescent="0.25"/>
    <row r="717" s="15" customFormat="1" ht="13.8" x14ac:dyDescent="0.25"/>
    <row r="718" s="15" customFormat="1" ht="13.8" x14ac:dyDescent="0.25"/>
    <row r="719" s="15" customFormat="1" ht="13.8" x14ac:dyDescent="0.25"/>
    <row r="720" s="15" customFormat="1" ht="13.8" x14ac:dyDescent="0.25"/>
    <row r="721" s="15" customFormat="1" ht="13.8" x14ac:dyDescent="0.25"/>
    <row r="722" s="15" customFormat="1" ht="13.8" x14ac:dyDescent="0.25"/>
    <row r="723" s="15" customFormat="1" ht="13.8" x14ac:dyDescent="0.25"/>
    <row r="724" s="15" customFormat="1" ht="13.8" x14ac:dyDescent="0.25"/>
    <row r="725" s="15" customFormat="1" ht="13.8" x14ac:dyDescent="0.25"/>
    <row r="726" s="15" customFormat="1" ht="13.8" x14ac:dyDescent="0.25"/>
    <row r="727" s="15" customFormat="1" ht="13.8" x14ac:dyDescent="0.25"/>
    <row r="728" s="15" customFormat="1" ht="13.8" x14ac:dyDescent="0.25"/>
    <row r="729" s="15" customFormat="1" ht="13.8" x14ac:dyDescent="0.25"/>
    <row r="730" s="15" customFormat="1" ht="13.8" x14ac:dyDescent="0.25"/>
    <row r="731" s="15" customFormat="1" ht="13.8" x14ac:dyDescent="0.25"/>
    <row r="732" s="15" customFormat="1" ht="13.8" x14ac:dyDescent="0.25"/>
    <row r="733" s="15" customFormat="1" ht="13.8" x14ac:dyDescent="0.25"/>
    <row r="734" s="15" customFormat="1" ht="13.8" x14ac:dyDescent="0.25"/>
    <row r="735" s="15" customFormat="1" ht="13.8" x14ac:dyDescent="0.25"/>
    <row r="736" s="15" customFormat="1" ht="13.8" x14ac:dyDescent="0.25"/>
    <row r="737" s="15" customFormat="1" ht="13.8" x14ac:dyDescent="0.25"/>
    <row r="738" s="15" customFormat="1" ht="13.8" x14ac:dyDescent="0.25"/>
    <row r="739" s="15" customFormat="1" ht="13.8" x14ac:dyDescent="0.25"/>
    <row r="740" s="15" customFormat="1" ht="13.8" x14ac:dyDescent="0.25"/>
    <row r="741" s="15" customFormat="1" ht="13.8" x14ac:dyDescent="0.25"/>
    <row r="742" s="15" customFormat="1" ht="13.8" x14ac:dyDescent="0.25"/>
    <row r="743" s="15" customFormat="1" ht="13.8" x14ac:dyDescent="0.25"/>
    <row r="744" s="15" customFormat="1" ht="13.8" x14ac:dyDescent="0.25"/>
    <row r="745" s="15" customFormat="1" ht="13.8" x14ac:dyDescent="0.25"/>
    <row r="746" s="15" customFormat="1" ht="13.8" x14ac:dyDescent="0.25"/>
    <row r="747" s="15" customFormat="1" ht="13.8" x14ac:dyDescent="0.25"/>
    <row r="748" s="15" customFormat="1" ht="13.8" x14ac:dyDescent="0.25"/>
    <row r="749" s="15" customFormat="1" ht="13.8" x14ac:dyDescent="0.25"/>
    <row r="750" s="15" customFormat="1" ht="13.8" x14ac:dyDescent="0.25"/>
    <row r="751" s="15" customFormat="1" ht="13.8" x14ac:dyDescent="0.25"/>
    <row r="752" s="15" customFormat="1" ht="13.8" x14ac:dyDescent="0.25"/>
    <row r="753" s="15" customFormat="1" ht="13.8" x14ac:dyDescent="0.25"/>
    <row r="754" s="15" customFormat="1" ht="13.8" x14ac:dyDescent="0.25"/>
    <row r="755" s="15" customFormat="1" ht="13.8" x14ac:dyDescent="0.25"/>
    <row r="756" s="15" customFormat="1" ht="13.8" x14ac:dyDescent="0.25"/>
    <row r="757" s="15" customFormat="1" ht="13.8" x14ac:dyDescent="0.25"/>
    <row r="758" s="15" customFormat="1" ht="13.8" x14ac:dyDescent="0.25"/>
    <row r="759" s="15" customFormat="1" ht="13.8" x14ac:dyDescent="0.25"/>
    <row r="760" s="15" customFormat="1" ht="13.8" x14ac:dyDescent="0.25"/>
    <row r="761" s="15" customFormat="1" ht="13.8" x14ac:dyDescent="0.25"/>
    <row r="762" s="15" customFormat="1" ht="13.8" x14ac:dyDescent="0.25"/>
    <row r="763" s="15" customFormat="1" ht="13.8" x14ac:dyDescent="0.25"/>
    <row r="764" s="15" customFormat="1" ht="13.8" x14ac:dyDescent="0.25"/>
    <row r="765" s="15" customFormat="1" ht="13.8" x14ac:dyDescent="0.25"/>
    <row r="766" s="15" customFormat="1" ht="13.8" x14ac:dyDescent="0.25"/>
    <row r="767" s="15" customFormat="1" ht="13.8" x14ac:dyDescent="0.25"/>
    <row r="768" s="15" customFormat="1" ht="13.8" x14ac:dyDescent="0.25"/>
    <row r="769" s="15" customFormat="1" ht="13.8" x14ac:dyDescent="0.25"/>
    <row r="770" s="15" customFormat="1" ht="13.8" x14ac:dyDescent="0.25"/>
    <row r="771" s="15" customFormat="1" ht="13.8" x14ac:dyDescent="0.25"/>
    <row r="772" s="15" customFormat="1" ht="13.8" x14ac:dyDescent="0.25"/>
    <row r="773" s="15" customFormat="1" ht="13.8" x14ac:dyDescent="0.25"/>
    <row r="774" s="15" customFormat="1" ht="13.8" x14ac:dyDescent="0.25"/>
    <row r="775" s="15" customFormat="1" ht="13.8" x14ac:dyDescent="0.25"/>
    <row r="776" s="15" customFormat="1" ht="13.8" x14ac:dyDescent="0.25"/>
    <row r="777" s="15" customFormat="1" ht="13.8" x14ac:dyDescent="0.25"/>
    <row r="778" s="15" customFormat="1" ht="13.8" x14ac:dyDescent="0.25"/>
    <row r="779" s="15" customFormat="1" ht="13.8" x14ac:dyDescent="0.25"/>
    <row r="780" s="15" customFormat="1" ht="13.8" x14ac:dyDescent="0.25"/>
    <row r="781" s="15" customFormat="1" ht="13.8" x14ac:dyDescent="0.25"/>
    <row r="782" s="15" customFormat="1" ht="13.8" x14ac:dyDescent="0.25"/>
    <row r="783" s="15" customFormat="1" ht="13.8" x14ac:dyDescent="0.25"/>
    <row r="784" s="15" customFormat="1" ht="13.8" x14ac:dyDescent="0.25"/>
    <row r="785" s="15" customFormat="1" ht="13.8" x14ac:dyDescent="0.25"/>
    <row r="786" s="15" customFormat="1" ht="13.8" x14ac:dyDescent="0.25"/>
    <row r="787" s="15" customFormat="1" ht="13.8" x14ac:dyDescent="0.25"/>
    <row r="788" s="15" customFormat="1" ht="13.8" x14ac:dyDescent="0.25"/>
    <row r="789" s="15" customFormat="1" ht="13.8" x14ac:dyDescent="0.25"/>
    <row r="790" s="15" customFormat="1" ht="13.8" x14ac:dyDescent="0.25"/>
    <row r="791" s="15" customFormat="1" ht="13.8" x14ac:dyDescent="0.25"/>
    <row r="792" s="15" customFormat="1" ht="13.8" x14ac:dyDescent="0.25"/>
    <row r="793" s="15" customFormat="1" ht="13.8" x14ac:dyDescent="0.25"/>
    <row r="794" s="15" customFormat="1" ht="13.8" x14ac:dyDescent="0.25"/>
    <row r="795" s="15" customFormat="1" ht="13.8" x14ac:dyDescent="0.25"/>
    <row r="796" s="15" customFormat="1" ht="13.8" x14ac:dyDescent="0.25"/>
    <row r="797" s="15" customFormat="1" ht="13.8" x14ac:dyDescent="0.25"/>
    <row r="798" s="15" customFormat="1" ht="13.8" x14ac:dyDescent="0.25"/>
    <row r="799" s="15" customFormat="1" ht="13.8" x14ac:dyDescent="0.25"/>
    <row r="800" s="15" customFormat="1" ht="13.8" x14ac:dyDescent="0.25"/>
    <row r="801" s="15" customFormat="1" ht="13.8" x14ac:dyDescent="0.25"/>
    <row r="802" s="15" customFormat="1" ht="13.8" x14ac:dyDescent="0.25"/>
    <row r="803" s="15" customFormat="1" ht="13.8" x14ac:dyDescent="0.25"/>
    <row r="804" s="15" customFormat="1" ht="13.8" x14ac:dyDescent="0.25"/>
    <row r="805" s="15" customFormat="1" ht="13.8" x14ac:dyDescent="0.25"/>
    <row r="806" s="15" customFormat="1" ht="13.8" x14ac:dyDescent="0.25"/>
    <row r="807" s="15" customFormat="1" ht="13.8" x14ac:dyDescent="0.25"/>
    <row r="808" s="15" customFormat="1" ht="13.8" x14ac:dyDescent="0.25"/>
    <row r="809" s="15" customFormat="1" ht="13.8" x14ac:dyDescent="0.25"/>
    <row r="810" s="15" customFormat="1" ht="13.8" x14ac:dyDescent="0.25"/>
    <row r="811" s="15" customFormat="1" ht="13.8" x14ac:dyDescent="0.25"/>
    <row r="812" s="15" customFormat="1" ht="13.8" x14ac:dyDescent="0.25"/>
    <row r="813" s="15" customFormat="1" ht="13.8" x14ac:dyDescent="0.25"/>
    <row r="814" s="15" customFormat="1" ht="13.8" x14ac:dyDescent="0.25"/>
    <row r="815" s="15" customFormat="1" ht="13.8" x14ac:dyDescent="0.25"/>
    <row r="816" s="15" customFormat="1" ht="13.8" x14ac:dyDescent="0.25"/>
    <row r="817" s="15" customFormat="1" ht="13.8" x14ac:dyDescent="0.25"/>
    <row r="818" s="15" customFormat="1" ht="13.8" x14ac:dyDescent="0.25"/>
    <row r="819" s="15" customFormat="1" ht="13.8" x14ac:dyDescent="0.25"/>
    <row r="820" s="15" customFormat="1" ht="13.8" x14ac:dyDescent="0.25"/>
    <row r="821" s="15" customFormat="1" ht="13.8" x14ac:dyDescent="0.25"/>
    <row r="822" s="15" customFormat="1" ht="13.8" x14ac:dyDescent="0.25"/>
    <row r="823" s="15" customFormat="1" ht="13.8" x14ac:dyDescent="0.25"/>
    <row r="824" s="15" customFormat="1" ht="13.8" x14ac:dyDescent="0.25"/>
    <row r="825" s="15" customFormat="1" ht="13.8" x14ac:dyDescent="0.25"/>
    <row r="826" s="15" customFormat="1" ht="13.8" x14ac:dyDescent="0.25"/>
    <row r="827" s="15" customFormat="1" ht="13.8" x14ac:dyDescent="0.25"/>
    <row r="828" s="15" customFormat="1" ht="13.8" x14ac:dyDescent="0.25"/>
    <row r="829" s="15" customFormat="1" ht="13.8" x14ac:dyDescent="0.25"/>
    <row r="830" s="15" customFormat="1" ht="13.8" x14ac:dyDescent="0.25"/>
    <row r="831" s="15" customFormat="1" ht="13.8" x14ac:dyDescent="0.25"/>
    <row r="832" s="15" customFormat="1" ht="13.8" x14ac:dyDescent="0.25"/>
    <row r="833" s="15" customFormat="1" ht="13.8" x14ac:dyDescent="0.25"/>
    <row r="834" s="15" customFormat="1" ht="13.8" x14ac:dyDescent="0.25"/>
    <row r="835" s="15" customFormat="1" ht="13.8" x14ac:dyDescent="0.25"/>
    <row r="836" s="15" customFormat="1" ht="13.8" x14ac:dyDescent="0.25"/>
    <row r="837" s="15" customFormat="1" ht="13.8" x14ac:dyDescent="0.25"/>
    <row r="838" s="15" customFormat="1" ht="13.8" x14ac:dyDescent="0.25"/>
    <row r="839" s="15" customFormat="1" ht="13.8" x14ac:dyDescent="0.25"/>
    <row r="840" s="15" customFormat="1" ht="13.8" x14ac:dyDescent="0.25"/>
    <row r="841" s="15" customFormat="1" ht="13.8" x14ac:dyDescent="0.25"/>
    <row r="842" s="15" customFormat="1" ht="13.8" x14ac:dyDescent="0.25"/>
    <row r="843" s="15" customFormat="1" ht="13.8" x14ac:dyDescent="0.25"/>
    <row r="844" s="15" customFormat="1" ht="13.8" x14ac:dyDescent="0.25"/>
    <row r="845" s="15" customFormat="1" ht="13.8" x14ac:dyDescent="0.25"/>
    <row r="846" s="15" customFormat="1" ht="13.8" x14ac:dyDescent="0.25"/>
    <row r="847" s="15" customFormat="1" ht="13.8" x14ac:dyDescent="0.25"/>
    <row r="848" s="15" customFormat="1" ht="13.8" x14ac:dyDescent="0.25"/>
    <row r="849" s="15" customFormat="1" ht="13.8" x14ac:dyDescent="0.25"/>
    <row r="850" s="15" customFormat="1" ht="13.8" x14ac:dyDescent="0.25"/>
    <row r="851" s="15" customFormat="1" ht="13.8" x14ac:dyDescent="0.25"/>
    <row r="852" s="15" customFormat="1" ht="13.8" x14ac:dyDescent="0.25"/>
    <row r="853" s="15" customFormat="1" ht="13.8" x14ac:dyDescent="0.25"/>
    <row r="854" s="15" customFormat="1" ht="13.8" x14ac:dyDescent="0.25"/>
    <row r="855" s="15" customFormat="1" ht="13.8" x14ac:dyDescent="0.25"/>
    <row r="856" s="15" customFormat="1" ht="13.8" x14ac:dyDescent="0.25"/>
    <row r="857" s="15" customFormat="1" ht="13.8" x14ac:dyDescent="0.25"/>
    <row r="858" s="15" customFormat="1" ht="13.8" x14ac:dyDescent="0.25"/>
    <row r="859" s="15" customFormat="1" ht="13.8" x14ac:dyDescent="0.25"/>
    <row r="860" s="15" customFormat="1" ht="13.8" x14ac:dyDescent="0.25"/>
    <row r="861" s="15" customFormat="1" ht="13.8" x14ac:dyDescent="0.25"/>
    <row r="862" s="15" customFormat="1" ht="13.8" x14ac:dyDescent="0.25"/>
    <row r="863" s="15" customFormat="1" ht="13.8" x14ac:dyDescent="0.25"/>
    <row r="864" s="15" customFormat="1" ht="13.8" x14ac:dyDescent="0.25"/>
    <row r="865" s="15" customFormat="1" ht="13.8" x14ac:dyDescent="0.25"/>
    <row r="866" s="15" customFormat="1" ht="13.8" x14ac:dyDescent="0.25"/>
    <row r="867" s="15" customFormat="1" ht="13.8" x14ac:dyDescent="0.25"/>
    <row r="868" s="15" customFormat="1" ht="13.8" x14ac:dyDescent="0.25"/>
    <row r="869" s="15" customFormat="1" ht="13.8" x14ac:dyDescent="0.25"/>
    <row r="870" s="15" customFormat="1" ht="13.8" x14ac:dyDescent="0.25"/>
    <row r="871" s="15" customFormat="1" ht="13.8" x14ac:dyDescent="0.25"/>
    <row r="872" s="15" customFormat="1" ht="13.8" x14ac:dyDescent="0.25"/>
    <row r="873" s="15" customFormat="1" ht="13.8" x14ac:dyDescent="0.25"/>
    <row r="874" s="15" customFormat="1" ht="13.8" x14ac:dyDescent="0.25"/>
    <row r="875" s="15" customFormat="1" ht="13.8" x14ac:dyDescent="0.25"/>
    <row r="876" s="15" customFormat="1" ht="13.8" x14ac:dyDescent="0.25"/>
    <row r="877" s="15" customFormat="1" ht="13.8" x14ac:dyDescent="0.25"/>
    <row r="878" s="15" customFormat="1" ht="13.8" x14ac:dyDescent="0.25"/>
    <row r="879" s="15" customFormat="1" ht="13.8" x14ac:dyDescent="0.25"/>
    <row r="880" s="15" customFormat="1" ht="13.8" x14ac:dyDescent="0.25"/>
    <row r="881" s="15" customFormat="1" ht="13.8" x14ac:dyDescent="0.25"/>
    <row r="882" s="15" customFormat="1" ht="13.8" x14ac:dyDescent="0.25"/>
    <row r="883" s="15" customFormat="1" ht="13.8" x14ac:dyDescent="0.25"/>
    <row r="884" s="15" customFormat="1" ht="13.8" x14ac:dyDescent="0.25"/>
    <row r="885" s="15" customFormat="1" ht="13.8" x14ac:dyDescent="0.25"/>
    <row r="886" s="15" customFormat="1" ht="13.8" x14ac:dyDescent="0.25"/>
    <row r="887" s="15" customFormat="1" ht="13.8" x14ac:dyDescent="0.25"/>
    <row r="888" s="15" customFormat="1" ht="13.8" x14ac:dyDescent="0.25"/>
    <row r="889" s="15" customFormat="1" ht="13.8" x14ac:dyDescent="0.25"/>
    <row r="890" s="15" customFormat="1" ht="13.8" x14ac:dyDescent="0.25"/>
    <row r="891" s="15" customFormat="1" ht="13.8" x14ac:dyDescent="0.25"/>
    <row r="892" s="15" customFormat="1" ht="13.8" x14ac:dyDescent="0.25"/>
    <row r="893" s="15" customFormat="1" ht="13.8" x14ac:dyDescent="0.25"/>
    <row r="894" s="15" customFormat="1" ht="13.8" x14ac:dyDescent="0.25"/>
    <row r="895" s="15" customFormat="1" ht="13.8" x14ac:dyDescent="0.25"/>
    <row r="896" s="15" customFormat="1" ht="13.8" x14ac:dyDescent="0.25"/>
    <row r="897" s="15" customFormat="1" ht="13.8" x14ac:dyDescent="0.25"/>
    <row r="898" s="15" customFormat="1" ht="13.8" x14ac:dyDescent="0.25"/>
    <row r="899" s="15" customFormat="1" ht="13.8" x14ac:dyDescent="0.25"/>
    <row r="900" s="15" customFormat="1" ht="13.8" x14ac:dyDescent="0.25"/>
    <row r="901" s="15" customFormat="1" ht="13.8" x14ac:dyDescent="0.25"/>
    <row r="902" s="15" customFormat="1" ht="13.8" x14ac:dyDescent="0.25"/>
    <row r="903" s="15" customFormat="1" ht="13.8" x14ac:dyDescent="0.25"/>
    <row r="904" s="15" customFormat="1" ht="13.8" x14ac:dyDescent="0.25"/>
    <row r="905" s="15" customFormat="1" ht="13.8" x14ac:dyDescent="0.25"/>
    <row r="906" s="15" customFormat="1" ht="13.8" x14ac:dyDescent="0.25"/>
    <row r="907" s="15" customFormat="1" ht="13.8" x14ac:dyDescent="0.25"/>
    <row r="908" s="15" customFormat="1" ht="13.8" x14ac:dyDescent="0.25"/>
    <row r="909" s="15" customFormat="1" ht="13.8" x14ac:dyDescent="0.25"/>
    <row r="910" s="15" customFormat="1" ht="13.8" x14ac:dyDescent="0.25"/>
    <row r="911" s="15" customFormat="1" ht="13.8" x14ac:dyDescent="0.25"/>
    <row r="912" s="15" customFormat="1" ht="13.8" x14ac:dyDescent="0.25"/>
    <row r="913" s="15" customFormat="1" ht="13.8" x14ac:dyDescent="0.25"/>
    <row r="914" s="15" customFormat="1" ht="13.8" x14ac:dyDescent="0.25"/>
    <row r="915" s="15" customFormat="1" ht="13.8" x14ac:dyDescent="0.25"/>
    <row r="916" s="15" customFormat="1" ht="13.8" x14ac:dyDescent="0.25"/>
    <row r="917" s="15" customFormat="1" ht="13.8" x14ac:dyDescent="0.25"/>
    <row r="918" s="15" customFormat="1" ht="13.8" x14ac:dyDescent="0.25"/>
    <row r="919" s="15" customFormat="1" ht="13.8" x14ac:dyDescent="0.25"/>
    <row r="920" s="15" customFormat="1" ht="13.8" x14ac:dyDescent="0.25"/>
    <row r="921" s="15" customFormat="1" ht="13.8" x14ac:dyDescent="0.25"/>
    <row r="922" s="15" customFormat="1" ht="13.8" x14ac:dyDescent="0.25"/>
    <row r="923" s="15" customFormat="1" ht="13.8" x14ac:dyDescent="0.25"/>
    <row r="924" s="15" customFormat="1" ht="13.8" x14ac:dyDescent="0.25"/>
    <row r="925" s="15" customFormat="1" ht="13.8" x14ac:dyDescent="0.25"/>
    <row r="926" s="15" customFormat="1" ht="13.8" x14ac:dyDescent="0.25"/>
    <row r="927" s="15" customFormat="1" ht="13.8" x14ac:dyDescent="0.25"/>
    <row r="928" s="15" customFormat="1" ht="13.8" x14ac:dyDescent="0.25"/>
    <row r="929" s="15" customFormat="1" ht="13.8" x14ac:dyDescent="0.25"/>
    <row r="930" s="15" customFormat="1" ht="13.8" x14ac:dyDescent="0.25"/>
    <row r="931" s="15" customFormat="1" ht="13.8" x14ac:dyDescent="0.25"/>
    <row r="932" s="15" customFormat="1" ht="13.8" x14ac:dyDescent="0.25"/>
    <row r="933" s="15" customFormat="1" ht="13.8" x14ac:dyDescent="0.25"/>
    <row r="934" s="15" customFormat="1" ht="13.8" x14ac:dyDescent="0.25"/>
    <row r="935" s="15" customFormat="1" ht="13.8" x14ac:dyDescent="0.25"/>
    <row r="936" s="15" customFormat="1" ht="13.8" x14ac:dyDescent="0.25"/>
    <row r="937" s="15" customFormat="1" ht="13.8" x14ac:dyDescent="0.25"/>
    <row r="938" s="15" customFormat="1" ht="13.8" x14ac:dyDescent="0.25"/>
    <row r="939" s="15" customFormat="1" ht="13.8" x14ac:dyDescent="0.25"/>
    <row r="940" s="15" customFormat="1" ht="13.8" x14ac:dyDescent="0.25"/>
    <row r="941" s="15" customFormat="1" ht="13.8" x14ac:dyDescent="0.25"/>
    <row r="942" s="15" customFormat="1" ht="13.8" x14ac:dyDescent="0.25"/>
    <row r="943" s="15" customFormat="1" ht="13.8" x14ac:dyDescent="0.25"/>
    <row r="944" s="15" customFormat="1" ht="13.8" x14ac:dyDescent="0.25"/>
    <row r="945" s="15" customFormat="1" ht="13.8" x14ac:dyDescent="0.25"/>
    <row r="946" s="15" customFormat="1" ht="13.8" x14ac:dyDescent="0.25"/>
    <row r="947" s="15" customFormat="1" ht="13.8" x14ac:dyDescent="0.25"/>
    <row r="948" s="15" customFormat="1" ht="13.8" x14ac:dyDescent="0.25"/>
    <row r="949" s="15" customFormat="1" ht="13.8" x14ac:dyDescent="0.25"/>
    <row r="950" s="15" customFormat="1" ht="13.8" x14ac:dyDescent="0.25"/>
    <row r="951" s="15" customFormat="1" ht="13.8" x14ac:dyDescent="0.25"/>
    <row r="952" s="15" customFormat="1" ht="13.8" x14ac:dyDescent="0.25"/>
    <row r="953" s="15" customFormat="1" ht="13.8" x14ac:dyDescent="0.25"/>
    <row r="954" s="15" customFormat="1" ht="13.8" x14ac:dyDescent="0.25"/>
    <row r="955" s="15" customFormat="1" ht="13.8" x14ac:dyDescent="0.25"/>
    <row r="956" s="15" customFormat="1" ht="13.8" x14ac:dyDescent="0.25"/>
    <row r="957" s="15" customFormat="1" ht="13.8" x14ac:dyDescent="0.25"/>
    <row r="958" s="15" customFormat="1" ht="13.8" x14ac:dyDescent="0.25"/>
    <row r="959" s="15" customFormat="1" ht="13.8" x14ac:dyDescent="0.25"/>
    <row r="960" s="15" customFormat="1" ht="13.8" x14ac:dyDescent="0.25"/>
    <row r="961" s="15" customFormat="1" ht="13.8" x14ac:dyDescent="0.25"/>
    <row r="962" s="15" customFormat="1" ht="13.8" x14ac:dyDescent="0.25"/>
    <row r="963" s="15" customFormat="1" ht="13.8" x14ac:dyDescent="0.25"/>
    <row r="964" s="15" customFormat="1" ht="13.8" x14ac:dyDescent="0.25"/>
    <row r="965" s="15" customFormat="1" ht="13.8" x14ac:dyDescent="0.25"/>
    <row r="966" s="15" customFormat="1" ht="13.8" x14ac:dyDescent="0.25"/>
    <row r="967" s="15" customFormat="1" ht="13.8" x14ac:dyDescent="0.25"/>
    <row r="968" s="15" customFormat="1" ht="13.8" x14ac:dyDescent="0.25"/>
    <row r="969" s="15" customFormat="1" ht="13.8" x14ac:dyDescent="0.25"/>
    <row r="970" s="15" customFormat="1" ht="13.8" x14ac:dyDescent="0.25"/>
    <row r="971" s="15" customFormat="1" ht="13.8" x14ac:dyDescent="0.25"/>
    <row r="972" s="15" customFormat="1" ht="13.8" x14ac:dyDescent="0.25"/>
    <row r="973" s="15" customFormat="1" ht="13.8" x14ac:dyDescent="0.25"/>
    <row r="974" s="15" customFormat="1" ht="13.8" x14ac:dyDescent="0.25"/>
    <row r="975" s="15" customFormat="1" ht="13.8" x14ac:dyDescent="0.25"/>
    <row r="976" s="15" customFormat="1" ht="13.8" x14ac:dyDescent="0.25"/>
    <row r="977" s="15" customFormat="1" ht="13.8" x14ac:dyDescent="0.25"/>
    <row r="978" s="15" customFormat="1" ht="13.8" x14ac:dyDescent="0.25"/>
    <row r="979" s="15" customFormat="1" ht="13.8" x14ac:dyDescent="0.25"/>
    <row r="980" s="15" customFormat="1" ht="13.8" x14ac:dyDescent="0.25"/>
    <row r="981" s="15" customFormat="1" ht="13.8" x14ac:dyDescent="0.25"/>
    <row r="982" s="15" customFormat="1" ht="13.8" x14ac:dyDescent="0.25"/>
    <row r="983" s="15" customFormat="1" ht="13.8" x14ac:dyDescent="0.25"/>
    <row r="984" s="15" customFormat="1" ht="13.8" x14ac:dyDescent="0.25"/>
    <row r="985" s="15" customFormat="1" ht="13.8" x14ac:dyDescent="0.25"/>
    <row r="986" s="15" customFormat="1" ht="13.8" x14ac:dyDescent="0.25"/>
    <row r="987" s="15" customFormat="1" ht="13.8" x14ac:dyDescent="0.25"/>
    <row r="988" s="15" customFormat="1" ht="13.8" x14ac:dyDescent="0.25"/>
    <row r="989" s="15" customFormat="1" ht="13.8" x14ac:dyDescent="0.25"/>
    <row r="990" s="15" customFormat="1" ht="13.8" x14ac:dyDescent="0.25"/>
    <row r="991" s="15" customFormat="1" ht="13.8" x14ac:dyDescent="0.25"/>
    <row r="992" s="15" customFormat="1" ht="13.8" x14ac:dyDescent="0.25"/>
    <row r="993" s="15" customFormat="1" ht="13.8" x14ac:dyDescent="0.25"/>
    <row r="994" s="15" customFormat="1" ht="13.8" x14ac:dyDescent="0.25"/>
    <row r="995" s="15" customFormat="1" ht="13.8" x14ac:dyDescent="0.25"/>
    <row r="996" s="15" customFormat="1" ht="13.8" x14ac:dyDescent="0.25"/>
    <row r="997" s="15" customFormat="1" ht="13.8" x14ac:dyDescent="0.25"/>
    <row r="998" s="15" customFormat="1" ht="13.8" x14ac:dyDescent="0.25"/>
    <row r="999" s="15" customFormat="1" ht="13.8" x14ac:dyDescent="0.25"/>
    <row r="1000" s="15" customFormat="1" ht="13.8" x14ac:dyDescent="0.25"/>
  </sheetData>
  <conditionalFormatting sqref="H1:L1048576">
    <cfRule type="cellIs" dxfId="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Cover Page</vt:lpstr>
      <vt:lpstr>Guide</vt:lpstr>
      <vt:lpstr>Input</vt:lpstr>
      <vt:lpstr>IS</vt:lpstr>
      <vt:lpstr>SOFP</vt:lpstr>
      <vt:lpstr>CFS</vt:lpstr>
      <vt:lpstr>CompanyName</vt:lpstr>
      <vt:lpstr>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John Ezugworie</cp:lastModifiedBy>
  <cp:lastPrinted>2026-10-14T12:56:14Z</cp:lastPrinted>
  <dcterms:created xsi:type="dcterms:W3CDTF">2026-02-11T12:45:57Z</dcterms:created>
  <dcterms:modified xsi:type="dcterms:W3CDTF">2026-10-16T13:07:47Z</dcterms:modified>
</cp:coreProperties>
</file>